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iendas por tramo" sheetId="2" state="visible" r:id="rId4"/>
    <sheet name="Pool sustitutos" sheetId="3" state="visible" r:id="rId5"/>
    <sheet name="Riesgo ADUL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<sst xmlns="http://schemas.openxmlformats.org/spreadsheetml/2006/main" count="1180" uniqueCount="462">
  <si>
    <t xml:space="preserve">Reparto provisional W26 — otras temporadas</t>
  </si>
  <si>
    <t xml:space="preserve">Resumen ejecutivo · stock a 9 de septiembre de 2026</t>
  </si>
  <si>
    <t xml:space="preserve">Alcance de este plan</t>
  </si>
  <si>
    <t xml:space="preserve">Incluye</t>
  </si>
  <si>
    <t xml:space="preserve">CAMISA, POLO, JERSEY, CAMISETA, PARKA, SUDADERA, CARDIGAN (Adulto/Hombre)</t>
  </si>
  <si>
    <t xml:space="preserve">Excluido por ahora</t>
  </si>
  <si>
    <t xml:space="preserve">PANTALÓN (llega de proveedor), complementos/calzado (bufanda, gorro, zapato, trench, polar, bota) y NIÑO — decisión de Leyre, pendiente de categorización de diseño</t>
  </si>
  <si>
    <t xml:space="preserve">Cifras clave</t>
  </si>
  <si>
    <t xml:space="preserve">Artículos W26 de adulto en riesgo (en el alcance de este plan)</t>
  </si>
  <si>
    <t xml:space="preserve">— de los cuales sin sustituto propuesto todavía</t>
  </si>
  <si>
    <t xml:space="preserve">— de los cuales sin sustituto válido en el pool actual (GAP real)</t>
  </si>
  <si>
    <t xml:space="preserve">Referencias del pool de sustitutos disponibles (todas las familias cubiertas)</t>
  </si>
  <si>
    <t xml:space="preserve">Referencias del pool con aviso de stock bajo (⚠)</t>
  </si>
  <si>
    <t xml:space="preserve">Tiendas en el maestro (CAT TIENDAS)</t>
  </si>
  <si>
    <t xml:space="preserve">Cómo leer esto</t>
  </si>
  <si>
    <t xml:space="preserve">1. 'Riesgo ADULTO' es el checklist de lo que falta cubrir hoy — para cada fila hay que elegir un sustituto del 'Pool sustitutos' de la misma familia.</t>
  </si>
  <si>
    <t xml:space="preserve">2. 'Pool sustitutos' es el inventario ya categorizado (A/B/C) y ya asignado a tramo de tienda (A.1/A.2/B.1/B.2/C.1/C.2), con el stock disponible por tienda calculado.</t>
  </si>
  <si>
    <t xml:space="preserve">3. La columna AVISO marca las referencias cuyo stock por tienda y talla es inferior a 1 unidad — riesgo real de rotura en ese tramo.</t>
  </si>
  <si>
    <t xml:space="preserve">4. 'Tiendas por tramo' es la tabla de tiendas y su categoría, de donde salen los recuentos usados en las fórmulas.</t>
  </si>
  <si>
    <t xml:space="preserve">5. Quedan fuera de este plan (ver arriba): Pantalón, complementos/calzado y Niño — pendientes de decisión.</t>
  </si>
  <si>
    <t xml:space="preserve">Tiendas por tramo — tabla base</t>
  </si>
  <si>
    <t xml:space="preserve">Nº tiendas por tramo (CAT TIENDAS) y alcance acumulado (regla: el tramo .2 llega también a las tiendas .1)</t>
  </si>
  <si>
    <t xml:space="preserve">TRAMO</t>
  </si>
  <si>
    <t xml:space="preserve">Nº TIENDAS EN EL TRAMO</t>
  </si>
  <si>
    <t xml:space="preserve">Nº TIENDAS QUE RECIBEN EL ENVÍO (acumulado)</t>
  </si>
  <si>
    <t xml:space="preserve">DESCRIPCIÓN</t>
  </si>
  <si>
    <t xml:space="preserve">A.1</t>
  </si>
  <si>
    <t xml:space="preserve">Solo las 4 tiendas A.1 (top de la categoría A)</t>
  </si>
  <si>
    <t xml:space="preserve">A.2</t>
  </si>
  <si>
    <t xml:space="preserve">Las 4 tiendas A.2 + las 4 A.1 = 8 tiendas (toda la categoría A)</t>
  </si>
  <si>
    <t xml:space="preserve">B.1</t>
  </si>
  <si>
    <t xml:space="preserve">Solo las 7 tiendas B.1</t>
  </si>
  <si>
    <t xml:space="preserve">B.2</t>
  </si>
  <si>
    <t xml:space="preserve">Las 5 tiendas B.2 + las 7 B.1 = 12 tiendas (toda la categoría B)</t>
  </si>
  <si>
    <t xml:space="preserve">C.1</t>
  </si>
  <si>
    <t xml:space="preserve">Solo las 3 tiendas C.1</t>
  </si>
  <si>
    <t xml:space="preserve">C.2</t>
  </si>
  <si>
    <t xml:space="preserve">Las 12 tiendas C.2 + las 3 C.1 = 15 tiendas (toda la categoría C)</t>
  </si>
  <si>
    <t xml:space="preserve">Detalle de las tiendas (categoría / subcategoría):</t>
  </si>
  <si>
    <t xml:space="preserve">TIENDA</t>
  </si>
  <si>
    <t xml:space="preserve">TIPO SURTIDO (A/B/C)</t>
  </si>
  <si>
    <t xml:space="preserve">SUB CAT (tramo)</t>
  </si>
  <si>
    <t xml:space="preserve">JEVASO</t>
  </si>
  <si>
    <t xml:space="preserve">A</t>
  </si>
  <si>
    <t xml:space="preserve">JJ</t>
  </si>
  <si>
    <t xml:space="preserve">B</t>
  </si>
  <si>
    <t xml:space="preserve">PALMA</t>
  </si>
  <si>
    <t xml:space="preserve">C</t>
  </si>
  <si>
    <t xml:space="preserve">POZUELO</t>
  </si>
  <si>
    <t xml:space="preserve">SEVILLA</t>
  </si>
  <si>
    <t xml:space="preserve">CASTELLANA</t>
  </si>
  <si>
    <t xml:space="preserve">TIENDA VALENCIA</t>
  </si>
  <si>
    <t xml:space="preserve">VIGO</t>
  </si>
  <si>
    <t xml:space="preserve">BILBAO</t>
  </si>
  <si>
    <t xml:space="preserve">SANCHINARRO</t>
  </si>
  <si>
    <t xml:space="preserve">PRINCESA</t>
  </si>
  <si>
    <t xml:space="preserve">PRECIADOS</t>
  </si>
  <si>
    <t xml:space="preserve">MALAGA</t>
  </si>
  <si>
    <t xml:space="preserve">ECI ON</t>
  </si>
  <si>
    <t xml:space="preserve">MURCIA</t>
  </si>
  <si>
    <t xml:space="preserve">SOTO</t>
  </si>
  <si>
    <t xml:space="preserve">OUTLET</t>
  </si>
  <si>
    <t xml:space="preserve">GOYA</t>
  </si>
  <si>
    <t xml:space="preserve">GENIL</t>
  </si>
  <si>
    <t xml:space="preserve">MG</t>
  </si>
  <si>
    <t xml:space="preserve">LEON</t>
  </si>
  <si>
    <t xml:space="preserve">ALICANTE</t>
  </si>
  <si>
    <t xml:space="preserve">NERVIÓN</t>
  </si>
  <si>
    <t xml:space="preserve">MOTRIL</t>
  </si>
  <si>
    <t xml:space="preserve">PUERTO</t>
  </si>
  <si>
    <t xml:space="preserve">CORUÑA</t>
  </si>
  <si>
    <t xml:space="preserve">SANTANDER</t>
  </si>
  <si>
    <t xml:space="preserve">ZENIA</t>
  </si>
  <si>
    <t xml:space="preserve">FR VALLADOLID</t>
  </si>
  <si>
    <t xml:space="preserve">SOROLLA</t>
  </si>
  <si>
    <t xml:space="preserve">AV FRANCIA</t>
  </si>
  <si>
    <t xml:space="preserve">MARBELLA</t>
  </si>
  <si>
    <t xml:space="preserve">LISBOA</t>
  </si>
  <si>
    <t xml:space="preserve">P.VENECIA</t>
  </si>
  <si>
    <t xml:space="preserve">GIJÓN</t>
  </si>
  <si>
    <t xml:space="preserve">CASTELLÓN</t>
  </si>
  <si>
    <t xml:space="preserve">Pool de sustitutos de otras temporadas — ya categorizados y asignados a tramo</t>
  </si>
  <si>
    <t xml:space="preserve">Fuente: STOCK 9 SEPT 26.xlsx, pestaña Hoja2 (categoría de diseño A/B/C y tramo de tienda ya asignados). Stock a fecha 9/9/2026. Las columnas G a L se calculan con fórmulas.</t>
  </si>
  <si>
    <t xml:space="preserve">FAMILIA</t>
  </si>
  <si>
    <t xml:space="preserve">REFERENCIA</t>
  </si>
  <si>
    <t xml:space="preserve">CATEGORÍA (A/B/C)</t>
  </si>
  <si>
    <t xml:space="preserve">ESTAC</t>
  </si>
  <si>
    <t xml:space="preserve">Nº TALLAS</t>
  </si>
  <si>
    <t xml:space="preserve">STOCK TOTAL</t>
  </si>
  <si>
    <t xml:space="preserve">Nº TIENDAS QUE LO RECIBEN</t>
  </si>
  <si>
    <t xml:space="preserve">STOCK / TIENDA</t>
  </si>
  <si>
    <t xml:space="preserve">STOCK / TIENDA / TALLA</t>
  </si>
  <si>
    <t xml:space="preserve">AVISO</t>
  </si>
  <si>
    <t xml:space="preserve">CAMISA</t>
  </si>
  <si>
    <t xml:space="preserve">225020310341</t>
  </si>
  <si>
    <t xml:space="preserve">CAMISA JOY PIQUE MARINO OSCURO</t>
  </si>
  <si>
    <t xml:space="preserve">ATEM</t>
  </si>
  <si>
    <t xml:space="preserve">225020371218</t>
  </si>
  <si>
    <t xml:space="preserve">CAMISA VILLAGE DOPO CRUDO</t>
  </si>
  <si>
    <t xml:space="preserve">INV</t>
  </si>
  <si>
    <t xml:space="preserve">225020371770</t>
  </si>
  <si>
    <t xml:space="preserve">CAMISA VIYELA AZUL</t>
  </si>
  <si>
    <t xml:space="preserve">225020371855</t>
  </si>
  <si>
    <t xml:space="preserve">CAMISA MOSS TARTAN KHAKI</t>
  </si>
  <si>
    <t xml:space="preserve">225020380843</t>
  </si>
  <si>
    <t xml:space="preserve">CAMISA GALLO CELESTE</t>
  </si>
  <si>
    <t xml:space="preserve">225020461316</t>
  </si>
  <si>
    <t xml:space="preserve">CAMISA POLERA DOPO BLANCO</t>
  </si>
  <si>
    <t xml:space="preserve">425020350140</t>
  </si>
  <si>
    <t xml:space="preserve">CAMISA OXFORD RAYAS MARINO</t>
  </si>
  <si>
    <t xml:space="preserve">225020320681</t>
  </si>
  <si>
    <t xml:space="preserve">CAMISA FOREST TENCEL VERDE GRISACEO</t>
  </si>
  <si>
    <t xml:space="preserve">225020372250</t>
  </si>
  <si>
    <t xml:space="preserve">CAMISA AUTUMN TARTAN VERDE</t>
  </si>
  <si>
    <t xml:space="preserve">425020310156</t>
  </si>
  <si>
    <t xml:space="preserve">CAMISA SARGA OCEANO</t>
  </si>
  <si>
    <t xml:space="preserve">425020320150</t>
  </si>
  <si>
    <t xml:space="preserve">CAMISA ESTRUCTURA VERDE</t>
  </si>
  <si>
    <t xml:space="preserve">425020350168</t>
  </si>
  <si>
    <t xml:space="preserve">CAMISA OXFORD RAYAS ROSA</t>
  </si>
  <si>
    <t xml:space="preserve">425020370141</t>
  </si>
  <si>
    <t xml:space="preserve">CAMISA CUADRO VIYELA BURDEOS</t>
  </si>
  <si>
    <t xml:space="preserve">225020310392</t>
  </si>
  <si>
    <t xml:space="preserve">CAMISA JOY PIQUE BERENJENA</t>
  </si>
  <si>
    <t xml:space="preserve">225020381650</t>
  </si>
  <si>
    <t xml:space="preserve">CAMISA CLASSIC VIYELA VERDE</t>
  </si>
  <si>
    <t xml:space="preserve">225020382141</t>
  </si>
  <si>
    <t xml:space="preserve">CAMISA TARTAN ORGANIC MARINO</t>
  </si>
  <si>
    <t xml:space="preserve">225020342743</t>
  </si>
  <si>
    <t xml:space="preserve">CAMISA POCKET RELAX ORGANIC CELESTE</t>
  </si>
  <si>
    <t xml:space="preserve">425020380141</t>
  </si>
  <si>
    <t xml:space="preserve">CAMISA VICHY MARINO</t>
  </si>
  <si>
    <t xml:space="preserve">225020310484</t>
  </si>
  <si>
    <t xml:space="preserve">CAMISA ESTRUCTURA PINPOINT TOPO</t>
  </si>
  <si>
    <t xml:space="preserve">225020310771</t>
  </si>
  <si>
    <t xml:space="preserve">CAMISA WOOD POCKET BEIGE</t>
  </si>
  <si>
    <t xml:space="preserve">225020312989</t>
  </si>
  <si>
    <t xml:space="preserve">CAMISA URBAN POCKET GRIS OSCURO</t>
  </si>
  <si>
    <t xml:space="preserve">225020320641</t>
  </si>
  <si>
    <t xml:space="preserve">CAMISA FOREST TENCEL MARINO</t>
  </si>
  <si>
    <t xml:space="preserve">225020371918</t>
  </si>
  <si>
    <t xml:space="preserve">CAMISA SCOTLAND TARTAN CRUDO</t>
  </si>
  <si>
    <t xml:space="preserve">225020382018</t>
  </si>
  <si>
    <t xml:space="preserve">CAMISA FALL TARTAN CRUDO</t>
  </si>
  <si>
    <t xml:space="preserve">225020371443</t>
  </si>
  <si>
    <t xml:space="preserve">CAMISA VICHY RUSTIC CELESTE</t>
  </si>
  <si>
    <t xml:space="preserve">225020382641</t>
  </si>
  <si>
    <t xml:space="preserve">CAMISA GALLO MARINO</t>
  </si>
  <si>
    <t xml:space="preserve">CAMISETA</t>
  </si>
  <si>
    <t xml:space="preserve">425010010165</t>
  </si>
  <si>
    <t xml:space="preserve">CAMISETA CLASSIC ORGANIC BURDEOS</t>
  </si>
  <si>
    <t xml:space="preserve">425010050116</t>
  </si>
  <si>
    <t xml:space="preserve">CAMISETA SCOTTA RACING BLANCO</t>
  </si>
  <si>
    <t xml:space="preserve">425010050365</t>
  </si>
  <si>
    <t xml:space="preserve">CAMISETA TEQUILA BURDEOS</t>
  </si>
  <si>
    <t xml:space="preserve">W24011116</t>
  </si>
  <si>
    <t xml:space="preserve">CAMISETA LOGO SCOTTA BLANCO</t>
  </si>
  <si>
    <t xml:space="preserve">225010070941</t>
  </si>
  <si>
    <t xml:space="preserve">CAMISETA MANGA LARGA CLASSIC MARINO</t>
  </si>
  <si>
    <t xml:space="preserve">W24011216</t>
  </si>
  <si>
    <t xml:space="preserve">CAMISETA SCOTTA CLUB BLANCO</t>
  </si>
  <si>
    <t xml:space="preserve">S25011365</t>
  </si>
  <si>
    <t xml:space="preserve">CAMISETA MANGA LARGA CLASSIC ORGANIC BURDEOS</t>
  </si>
  <si>
    <t xml:space="preserve">CARDIGAN</t>
  </si>
  <si>
    <t xml:space="preserve">225041360141</t>
  </si>
  <si>
    <t xml:space="preserve">CARDIGAN ENGLAND BUTTONS MARINO</t>
  </si>
  <si>
    <t xml:space="preserve">CHALECO</t>
  </si>
  <si>
    <t xml:space="preserve">225123280141</t>
  </si>
  <si>
    <t xml:space="preserve">CHALECO ROMBO ACOLCHADO MARINO</t>
  </si>
  <si>
    <t xml:space="preserve">225123280155</t>
  </si>
  <si>
    <t xml:space="preserve">CHALECO ROMBO ACOLCHADO KHAKI</t>
  </si>
  <si>
    <t xml:space="preserve">225123280256</t>
  </si>
  <si>
    <t xml:space="preserve">CHALECO ACOLCHADO OCEANO</t>
  </si>
  <si>
    <t xml:space="preserve">225123280265</t>
  </si>
  <si>
    <t xml:space="preserve">CHALECO ACOLCHADO BURDEOS</t>
  </si>
  <si>
    <t xml:space="preserve">CHAQUETA</t>
  </si>
  <si>
    <t xml:space="preserve">225133370541</t>
  </si>
  <si>
    <t xml:space="preserve">CHAQUETA WORKER WOOL MARINO</t>
  </si>
  <si>
    <t xml:space="preserve">225133290255</t>
  </si>
  <si>
    <t xml:space="preserve">CHAQUETA HOOD ACOLCHADO KHAKI</t>
  </si>
  <si>
    <t xml:space="preserve">225133300356</t>
  </si>
  <si>
    <t xml:space="preserve">CHAQUETA CLASSIC ACOLCHADO OCEANO</t>
  </si>
  <si>
    <t xml:space="preserve">S25170141</t>
  </si>
  <si>
    <t xml:space="preserve">CHAQUETA CORTA SARGA MARINO</t>
  </si>
  <si>
    <t xml:space="preserve">S25170171</t>
  </si>
  <si>
    <t xml:space="preserve">CHAQUETA CORTA SARGA BEIGE</t>
  </si>
  <si>
    <t xml:space="preserve">225133290265</t>
  </si>
  <si>
    <t xml:space="preserve">CHAQUETA HOOD ACOLCHADO BURDEOS</t>
  </si>
  <si>
    <t xml:space="preserve">225133300380</t>
  </si>
  <si>
    <t xml:space="preserve">CHAQUETA CLASSIC ACOLCHADO NEGRO</t>
  </si>
  <si>
    <t xml:space="preserve">Camisa</t>
  </si>
  <si>
    <t xml:space="preserve">W23041896</t>
  </si>
  <si>
    <t xml:space="preserve">Camisa joy pique denim</t>
  </si>
  <si>
    <t xml:space="preserve">Camiseta</t>
  </si>
  <si>
    <t xml:space="preserve">PV24010216</t>
  </si>
  <si>
    <t xml:space="preserve">Camiseta graf blanco</t>
  </si>
  <si>
    <t xml:space="preserve">JERSEY</t>
  </si>
  <si>
    <t xml:space="preserve">225031270483</t>
  </si>
  <si>
    <t xml:space="preserve">JERSEY CREW NECK MERINO GRIS MEDIO</t>
  </si>
  <si>
    <t xml:space="preserve">225031280240</t>
  </si>
  <si>
    <t xml:space="preserve">JERSEY V NECK WOOL AZUL</t>
  </si>
  <si>
    <t xml:space="preserve">225031280255</t>
  </si>
  <si>
    <t xml:space="preserve">JERSEY V NECK WOOL KHAKI</t>
  </si>
  <si>
    <t xml:space="preserve">225031280341</t>
  </si>
  <si>
    <t xml:space="preserve">JERSEY ICONIC V NECK MERINO MARINO</t>
  </si>
  <si>
    <t xml:space="preserve">225031280355</t>
  </si>
  <si>
    <t xml:space="preserve">JERSEY ICONIC V NECK MERINO KHAKI</t>
  </si>
  <si>
    <t xml:space="preserve">225031290641</t>
  </si>
  <si>
    <t xml:space="preserve">JERSEY ZIP MARINO</t>
  </si>
  <si>
    <t xml:space="preserve">225031290655</t>
  </si>
  <si>
    <t xml:space="preserve">JERSEY ZIP KHAKI</t>
  </si>
  <si>
    <t xml:space="preserve">225031290665</t>
  </si>
  <si>
    <t xml:space="preserve">JERSEY ZIP BURDEOS</t>
  </si>
  <si>
    <t xml:space="preserve">225031290671</t>
  </si>
  <si>
    <t xml:space="preserve">JERSEY ZIP BEIGE</t>
  </si>
  <si>
    <t xml:space="preserve">225031290683</t>
  </si>
  <si>
    <t xml:space="preserve">JERSEY ZIP GRIS</t>
  </si>
  <si>
    <t xml:space="preserve">225031331441</t>
  </si>
  <si>
    <t xml:space="preserve">JERSEY CUELLO JONHY OCHOS MARINO</t>
  </si>
  <si>
    <t xml:space="preserve">225031270441</t>
  </si>
  <si>
    <t xml:space="preserve">JERSEY CREW NECK MERINO MARINO</t>
  </si>
  <si>
    <t xml:space="preserve">225031270455</t>
  </si>
  <si>
    <t xml:space="preserve">JERSEY CREW NECK MERINO KHAKI</t>
  </si>
  <si>
    <t xml:space="preserve">225031270596</t>
  </si>
  <si>
    <t xml:space="preserve">JERSEY CREW NECK OCHOS DENIM</t>
  </si>
  <si>
    <t xml:space="preserve">225031280165</t>
  </si>
  <si>
    <t xml:space="preserve">JERSEY ICONIC V NECK BURDEOS</t>
  </si>
  <si>
    <t xml:space="preserve">225031280241</t>
  </si>
  <si>
    <t xml:space="preserve">JERSEY V NECK WOOL MARINO</t>
  </si>
  <si>
    <t xml:space="preserve">225031320841</t>
  </si>
  <si>
    <t xml:space="preserve">JERSEY POLO CASHMERE MARINO</t>
  </si>
  <si>
    <t xml:space="preserve">225031320855</t>
  </si>
  <si>
    <t xml:space="preserve">JERSEY POLO CASHMERE KHAKI</t>
  </si>
  <si>
    <t xml:space="preserve">425031270141</t>
  </si>
  <si>
    <t xml:space="preserve">JERSEY CREW NECK COTTON CASHMERE MARINO</t>
  </si>
  <si>
    <t xml:space="preserve">425031280165</t>
  </si>
  <si>
    <t xml:space="preserve">JERSEY V NECK COTTON CASHMERE BURDEOS</t>
  </si>
  <si>
    <t xml:space="preserve">W22051965</t>
  </si>
  <si>
    <t xml:space="preserve">W22051971</t>
  </si>
  <si>
    <t xml:space="preserve">W23051641</t>
  </si>
  <si>
    <t xml:space="preserve">225031270484</t>
  </si>
  <si>
    <t xml:space="preserve">JERSEY CREW NECK MERINO TOPO</t>
  </si>
  <si>
    <t xml:space="preserve">225031280141</t>
  </si>
  <si>
    <t xml:space="preserve">JERSEY ICONIC V NECK MARINO</t>
  </si>
  <si>
    <t xml:space="preserve">225031280371</t>
  </si>
  <si>
    <t xml:space="preserve">JERSEY ICONIC V NECK MERINO BEIGE</t>
  </si>
  <si>
    <t xml:space="preserve">225031280396</t>
  </si>
  <si>
    <t xml:space="preserve">JERSEY ICONIC V NECK MERINO DENIM</t>
  </si>
  <si>
    <t xml:space="preserve">225031300780</t>
  </si>
  <si>
    <t xml:space="preserve">JERSEY TURTLE NECK NEGRO</t>
  </si>
  <si>
    <t xml:space="preserve">225031300784</t>
  </si>
  <si>
    <t xml:space="preserve">JERSEY TURTLE NECK TOPO</t>
  </si>
  <si>
    <t xml:space="preserve">225031331484</t>
  </si>
  <si>
    <t xml:space="preserve">JERSEY CUELLO JONHY OCHOS TOPO</t>
  </si>
  <si>
    <t xml:space="preserve">225031320826</t>
  </si>
  <si>
    <t xml:space="preserve">JERSEY POLO CASHMERE TEJA</t>
  </si>
  <si>
    <t xml:space="preserve">225031321318</t>
  </si>
  <si>
    <t xml:space="preserve">JERSEY POLO ZIP CRUDO</t>
  </si>
  <si>
    <t xml:space="preserve">225031321683</t>
  </si>
  <si>
    <t xml:space="preserve">JERSEY POLO RANGLAN GRIS</t>
  </si>
  <si>
    <t xml:space="preserve">225031371089</t>
  </si>
  <si>
    <t xml:space="preserve">JERSEY MOTO LOGO GRIS OSCURO</t>
  </si>
  <si>
    <t xml:space="preserve">225031380950</t>
  </si>
  <si>
    <t xml:space="preserve">JERSEY STRIPES VERDE</t>
  </si>
  <si>
    <t xml:space="preserve">225031401241</t>
  </si>
  <si>
    <t xml:space="preserve">JERSEY GRECA ETHNIC MARINO</t>
  </si>
  <si>
    <t xml:space="preserve">225031401283</t>
  </si>
  <si>
    <t xml:space="preserve">JERSEY GRECA ETHNIC GRIS MEDIO</t>
  </si>
  <si>
    <t xml:space="preserve">225031391141</t>
  </si>
  <si>
    <t xml:space="preserve">JERSEY SCOTTA MARINO</t>
  </si>
  <si>
    <t xml:space="preserve">Jersey</t>
  </si>
  <si>
    <t xml:space="preserve">W23050555</t>
  </si>
  <si>
    <t xml:space="preserve">Jersey perlado cashmere khaki</t>
  </si>
  <si>
    <t xml:space="preserve">S24050296</t>
  </si>
  <si>
    <t xml:space="preserve">Jersey Scotta denim</t>
  </si>
  <si>
    <t xml:space="preserve">W23051635</t>
  </si>
  <si>
    <t xml:space="preserve">Jersey polo cashmere mostaza</t>
  </si>
  <si>
    <t xml:space="preserve">PARKA</t>
  </si>
  <si>
    <t xml:space="preserve">225153650450</t>
  </si>
  <si>
    <t xml:space="preserve">PARKA BRITISH VERDE OSCURO</t>
  </si>
  <si>
    <t xml:space="preserve">225153660159</t>
  </si>
  <si>
    <t xml:space="preserve">PARKA RAINY VERDE OSCURO</t>
  </si>
  <si>
    <t xml:space="preserve">225153670241</t>
  </si>
  <si>
    <t xml:space="preserve">PARKA BUTTONS MARINO</t>
  </si>
  <si>
    <t xml:space="preserve">225153640341</t>
  </si>
  <si>
    <t xml:space="preserve">PARKA ULTRALIGHT MARINO</t>
  </si>
  <si>
    <t xml:space="preserve">225153640355</t>
  </si>
  <si>
    <t xml:space="preserve">PARKA ULTRALIGHT KHAKI</t>
  </si>
  <si>
    <t xml:space="preserve">225153650441</t>
  </si>
  <si>
    <t xml:space="preserve">PARKA BRITISH MARINO</t>
  </si>
  <si>
    <t xml:space="preserve">POLO</t>
  </si>
  <si>
    <t xml:space="preserve">225061870665</t>
  </si>
  <si>
    <t xml:space="preserve">POLO RUGBY STRIPES MOTO BURDEOS</t>
  </si>
  <si>
    <t xml:space="preserve">225061870743</t>
  </si>
  <si>
    <t xml:space="preserve">POLO RUGBY STRIPES CELESTE</t>
  </si>
  <si>
    <t xml:space="preserve">225061870583</t>
  </si>
  <si>
    <t xml:space="preserve">POLO RUGBY FLAG GRIS</t>
  </si>
  <si>
    <t xml:space="preserve">225061890841</t>
  </si>
  <si>
    <t xml:space="preserve">POLO PUNTO CANALE MARINO</t>
  </si>
  <si>
    <t xml:space="preserve">225061890859</t>
  </si>
  <si>
    <t xml:space="preserve">POLO PUNTO CANALE VERDE OSCURO</t>
  </si>
  <si>
    <t xml:space="preserve">SUDADERA</t>
  </si>
  <si>
    <t xml:space="preserve">225051550541</t>
  </si>
  <si>
    <t xml:space="preserve">SUDADERA HOODIE MARINO OSCURO</t>
  </si>
  <si>
    <t xml:space="preserve">225051550518</t>
  </si>
  <si>
    <t xml:space="preserve">SUDADERA HOODIE CRUDO</t>
  </si>
  <si>
    <t xml:space="preserve">225051560283</t>
  </si>
  <si>
    <t xml:space="preserve">SUDADERA LOGO GRIS</t>
  </si>
  <si>
    <t xml:space="preserve">225051560241</t>
  </si>
  <si>
    <t xml:space="preserve">SUDADERA LOGO MARINO</t>
  </si>
  <si>
    <t xml:space="preserve">225051560350</t>
  </si>
  <si>
    <t xml:space="preserve">SUDADERA MOTO RACER VERDE</t>
  </si>
  <si>
    <t xml:space="preserve">Artículos W26 de ADULTO en riesgo (aún sin cubrir a 9/9/2026)</t>
  </si>
  <si>
    <t xml:space="preserve">Alcance: familias con pool de sustitutos ya categorizado (CAMISA, POLO, JERSEY, CAMISETA, PARKA, SUDADERA, CARDIGAN). Excluye Pantalón (llega de proveedor), complementos/calzado y Niño — quedan fuera por decisión de Leyre por ahora.</t>
  </si>
  <si>
    <t xml:space="preserve">Columnas F-H: sustituto propuesto. Las filas revisadas con foto real (ver comentario '[ALTA/MEDIA/BAJA] revisado con foto') ya han sido corregidas a mano tras comparar imágenes; el resto sigue siendo una propuesta automática por texto (familia + palabras de estilo), sin confirmar visualmente todavía.</t>
  </si>
  <si>
    <t xml:space="preserve">MES ENTREGA PREVISTA</t>
  </si>
  <si>
    <t xml:space="preserve">ARTÍCULO W26</t>
  </si>
  <si>
    <t xml:space="preserve">ESTADO 9/9</t>
  </si>
  <si>
    <t xml:space="preserve">SUSTITUTO PROPUESTO (referencia)</t>
  </si>
  <si>
    <t xml:space="preserve">TRAMO ASIGNADO</t>
  </si>
  <si>
    <t xml:space="preserve">COMENTARIO</t>
  </si>
  <si>
    <t xml:space="preserve">AGOSTO</t>
  </si>
  <si>
    <t xml:space="preserve">226020310265</t>
  </si>
  <si>
    <t xml:space="preserve">CAMISA FOREST TENCEL BURDEOS</t>
  </si>
  <si>
    <t xml:space="preserve">225020320681 — CAMISA FOREST TENCEL VERDE GRISACEO</t>
  </si>
  <si>
    <t xml:space="preserve">[ALTA] coincidencia de estilo</t>
  </si>
  <si>
    <t xml:space="preserve">226020320441</t>
  </si>
  <si>
    <t xml:space="preserve">CAMISA OXFORD SOFT MARINO</t>
  </si>
  <si>
    <t xml:space="preserve">425020350168 — CAMISA OXFORD RAYAS ROSA</t>
  </si>
  <si>
    <t xml:space="preserve">[MEDIA] coincidencia de estilo</t>
  </si>
  <si>
    <t xml:space="preserve">226020340543</t>
  </si>
  <si>
    <t xml:space="preserve">CAMISA OXFORD RAYA SPORT FINA CELESTE</t>
  </si>
  <si>
    <t xml:space="preserve">226020350150</t>
  </si>
  <si>
    <t xml:space="preserve">CAMISA OXFORD MULTI RAYAS VERDE</t>
  </si>
  <si>
    <t xml:space="preserve">226020350283</t>
  </si>
  <si>
    <t xml:space="preserve">CAMISA OXFORD RAYAS GRIS</t>
  </si>
  <si>
    <t xml:space="preserve">226020350443</t>
  </si>
  <si>
    <t xml:space="preserve">CAMISA OXFORD RAYAS CELESTE</t>
  </si>
  <si>
    <t xml:space="preserve">226020370240</t>
  </si>
  <si>
    <t xml:space="preserve">CAMISA CUADRO PEQUEÑO AZUL</t>
  </si>
  <si>
    <t xml:space="preserve">425020370141 — CAMISA CUADRO VIYELA BURDEOS</t>
  </si>
  <si>
    <t xml:space="preserve">226020370350</t>
  </si>
  <si>
    <t xml:space="preserve">CAMISA CUADRO DOPO COLOURS VERDE</t>
  </si>
  <si>
    <t xml:space="preserve">226020370441</t>
  </si>
  <si>
    <t xml:space="preserve">CAMISA CUADRO DOPO MARINO</t>
  </si>
  <si>
    <t xml:space="preserve">226020510396</t>
  </si>
  <si>
    <t xml:space="preserve">CAMISA DENIM POCKET AZUL CLARO</t>
  </si>
  <si>
    <t xml:space="preserve">225020310771 — CAMISA WOOD POCKET BEIGE</t>
  </si>
  <si>
    <t xml:space="preserve">OCTUBRE</t>
  </si>
  <si>
    <t xml:space="preserve">226020350543</t>
  </si>
  <si>
    <t xml:space="preserve">CAMISA OXFORD SOFT RAYAS CELESTE</t>
  </si>
  <si>
    <t xml:space="preserve">226020370183</t>
  </si>
  <si>
    <t xml:space="preserve">CAMISA CASUAL GALLO GRIS</t>
  </si>
  <si>
    <t xml:space="preserve">225020382641 — CAMISA GALLO MARINO</t>
  </si>
  <si>
    <t xml:space="preserve">226020370550</t>
  </si>
  <si>
    <t xml:space="preserve">CAMISA CASUAL CUADRO TARTAN VERDE</t>
  </si>
  <si>
    <t xml:space="preserve">226020370656</t>
  </si>
  <si>
    <t xml:space="preserve">CAMISA CASUAL CUADRO TARTAN OCEANO</t>
  </si>
  <si>
    <t xml:space="preserve">226020510192</t>
  </si>
  <si>
    <t xml:space="preserve">CAMISA MICROPANA POCKETS  BERENJENA</t>
  </si>
  <si>
    <t xml:space="preserve">SIN SUSTITUTO VÁLIDO</t>
  </si>
  <si>
    <t xml:space="preserve">[GAP] revisado con foto: mismo caso que la fila anterior (sobrecamisa con bolsillos, en pana) — el pool de CAMISA no tiene nada de corte similar.</t>
  </si>
  <si>
    <t xml:space="preserve">SEPTIEMBRE</t>
  </si>
  <si>
    <t xml:space="preserve">226020310250</t>
  </si>
  <si>
    <t xml:space="preserve">CAMISA FOREST TENCEL VERDE</t>
  </si>
  <si>
    <t xml:space="preserve">226020310284</t>
  </si>
  <si>
    <t xml:space="preserve">CAMISA FOREST TENCEL TOPO</t>
  </si>
  <si>
    <t xml:space="preserve">226020310292</t>
  </si>
  <si>
    <t xml:space="preserve">CAMISA FOREST TENCEL BERENJENA</t>
  </si>
  <si>
    <t xml:space="preserve">226020340240</t>
  </si>
  <si>
    <t xml:space="preserve">CAMISA OXFORD RAYAS POCKET CELESTE</t>
  </si>
  <si>
    <t xml:space="preserve">226020350382</t>
  </si>
  <si>
    <t xml:space="preserve">CAMISA OXFORD RAYAS POCKET AZUL GRISACEO</t>
  </si>
  <si>
    <t xml:space="preserve">226020350643</t>
  </si>
  <si>
    <t xml:space="preserve">CAMISA STRIPES SOFT CELESTE</t>
  </si>
  <si>
    <t xml:space="preserve">225020380843 — CAMISA GALLO CELESTE</t>
  </si>
  <si>
    <t xml:space="preserve">[ALTA] revisado con foto: color y tejido casi idénticos al original (celeste clásica). Se cambia respecto a la propuesta automática (esa era en marino)</t>
  </si>
  <si>
    <t xml:space="preserve">226020370779</t>
  </si>
  <si>
    <t xml:space="preserve">CAMISA CUADRO PEQUEÑO DOPO MARRON</t>
  </si>
  <si>
    <t xml:space="preserve">226020380341</t>
  </si>
  <si>
    <t xml:space="preserve">CAMISA CUADRO VENTANA AZUL</t>
  </si>
  <si>
    <t xml:space="preserve">226020510255</t>
  </si>
  <si>
    <t xml:space="preserve">CAMISA CASUAL POCKETS KHAKI</t>
  </si>
  <si>
    <t xml:space="preserve">[GAP] revisado con foto: es una camisa/sobrecamisa casual con bolsillos de parche — el pool de CAMISA solo tiene camisas de vestir clásicas, ninguna con ese corte. Recomiendo buscar en CHAQUETA o aceptar el hueco.</t>
  </si>
  <si>
    <t xml:space="preserve">226010050216</t>
  </si>
  <si>
    <t xml:space="preserve">CAMISETA CASCO FREE SPIRIT BLANCO</t>
  </si>
  <si>
    <t xml:space="preserve">2º ENVIO</t>
  </si>
  <si>
    <t xml:space="preserve">425010050116 — CAMISETA SCOTTA RACING BLANCO</t>
  </si>
  <si>
    <t xml:space="preserve">[MEDIA] revisado con foto: mismo color blanco, pero estampado grande vs logo pequeño del original</t>
  </si>
  <si>
    <t xml:space="preserve">226010050782</t>
  </si>
  <si>
    <t xml:space="preserve">CAMISETA MOTO SAVAGES AZUL GRISACEO</t>
  </si>
  <si>
    <t xml:space="preserve">[ALTA] revisado con foto: mismo concepto gráfico moto/racing, aunque cambia color y colocación del estampado</t>
  </si>
  <si>
    <t xml:space="preserve">226010050841</t>
  </si>
  <si>
    <t xml:space="preserve">CAMISETA WRENCHIN ORGANIC MARINO</t>
  </si>
  <si>
    <t xml:space="preserve">SIN REVISAR</t>
  </si>
  <si>
    <t xml:space="preserve">S25011365 — CAMISETA MANGA LARGA CLASSIC ORGANIC BURDEOS</t>
  </si>
  <si>
    <t xml:space="preserve">226010050988</t>
  </si>
  <si>
    <t xml:space="preserve">CAMISETA MOUNTAIN DRIP GRIS HIELO</t>
  </si>
  <si>
    <t xml:space="preserve">425010010165 — CAMISETA CLASSIC ORGANIC BURDEOS</t>
  </si>
  <si>
    <t xml:space="preserve">[MEDIA] revisado con foto: mejor que la propuesta automática (lisa, sin estampado grande, más parecida en concepto), pero cambia el color</t>
  </si>
  <si>
    <t xml:space="preserve">226041260141</t>
  </si>
  <si>
    <t xml:space="preserve">CARDIGAN ZIP WOOL MARINO</t>
  </si>
  <si>
    <t xml:space="preserve">225041360141 — CARDIGAN ENGLAND BUTTONS MARINO</t>
  </si>
  <si>
    <t xml:space="preserve">[MEDIA] revisado con foto: único cardigan disponible en el pool. Mismo color marino, pero es de botones y cuello polo (el original es cremallera y cuello mao).</t>
  </si>
  <si>
    <t xml:space="preserve">226041260192</t>
  </si>
  <si>
    <t xml:space="preserve">CARDIGAN ZIP WOOL BERENJENA</t>
  </si>
  <si>
    <t xml:space="preserve">[BAJA] revisado con foto: único cardigan disponible; además de cambiar de botones/cuello, el color no coincide (marino vs berenjena del original).</t>
  </si>
  <si>
    <t xml:space="preserve">226031270251</t>
  </si>
  <si>
    <t xml:space="preserve">JERSEY CREW NECK OCHOS VERDE BOTELLA</t>
  </si>
  <si>
    <t xml:space="preserve">225031270596 — JERSEY CREW NECK OCHOS DENIM</t>
  </si>
  <si>
    <t xml:space="preserve">226031270368</t>
  </si>
  <si>
    <t xml:space="preserve">JERSEY NEPS WOOL ROSA</t>
  </si>
  <si>
    <t xml:space="preserve">225031280241 — JERSEY V NECK WOOL MARINO</t>
  </si>
  <si>
    <t xml:space="preserve">226031280165</t>
  </si>
  <si>
    <t xml:space="preserve">JERSEY V NECK WOOL BURDEOS</t>
  </si>
  <si>
    <t xml:space="preserve">226031280175</t>
  </si>
  <si>
    <t xml:space="preserve">JERSEY V NECK WOOL CAMEL</t>
  </si>
  <si>
    <t xml:space="preserve">226031280182</t>
  </si>
  <si>
    <t xml:space="preserve">JERSEY V NECK WOOL AZUL GRISACEO</t>
  </si>
  <si>
    <t xml:space="preserve">226031290241</t>
  </si>
  <si>
    <t xml:space="preserve">JERSEY ZIP OCHOS MARINO</t>
  </si>
  <si>
    <t xml:space="preserve">W22051971 — JERSEY ZIP BEIGE</t>
  </si>
  <si>
    <t xml:space="preserve">226031290283</t>
  </si>
  <si>
    <t xml:space="preserve">JERSEY ZIP OCHOS GRIS MEDIO</t>
  </si>
  <si>
    <t xml:space="preserve">226153660183</t>
  </si>
  <si>
    <t xml:space="preserve">PARKA RAINY GRIS</t>
  </si>
  <si>
    <t xml:space="preserve">225153660159 — PARKA RAINY VERDE OSCURO</t>
  </si>
  <si>
    <t xml:space="preserve">226153680141</t>
  </si>
  <si>
    <t xml:space="preserve">PARKA POCKETS MARINO</t>
  </si>
  <si>
    <t xml:space="preserve">225153650441 — PARKA BRITISH MARINO</t>
  </si>
  <si>
    <t xml:space="preserve">[ALTA] revisado con foto: mismo corte de parka estructurada en marino; se cambia respecto a la propuesta automática (esa era un acolchado ligero, corte distinto).</t>
  </si>
  <si>
    <t xml:space="preserve">226153680155</t>
  </si>
  <si>
    <t xml:space="preserve">PARKA POCKETS KHAKI</t>
  </si>
  <si>
    <t xml:space="preserve">225153650450 — PARKA BRITISH VERDE OSCURO</t>
  </si>
  <si>
    <t xml:space="preserve">[MEDIA] revisado con foto: mismo corte de parka estructurada de la familia BRITISH; el color es verde oscuro, no khaki exacto, pero mucho más cercano en estilo que la propuesta automática.</t>
  </si>
  <si>
    <t xml:space="preserve">226061880191</t>
  </si>
  <si>
    <t xml:space="preserve">POLO RUGBY BROTHER VERDE GRISACEO</t>
  </si>
  <si>
    <t xml:space="preserve">225061870583 — POLO RUGBY FLAG GRIS</t>
  </si>
  <si>
    <t xml:space="preserve">[MEDIA] coincidencia de estilo — stock ajustado</t>
  </si>
  <si>
    <t xml:space="preserve">226061880196</t>
  </si>
  <si>
    <t xml:space="preserve">POLO RUGBY BROTHER DENIM</t>
  </si>
  <si>
    <t xml:space="preserve">226061870117</t>
  </si>
  <si>
    <t xml:space="preserve">POLO RUGBY RIB SCOTTA CHENILLE BLANCO ROTO</t>
  </si>
  <si>
    <t xml:space="preserve">226061870141</t>
  </si>
  <si>
    <t xml:space="preserve">POLO RUGBY RIB SCOTTA CHENILLE MARINO</t>
  </si>
  <si>
    <t xml:space="preserve">226061880165</t>
  </si>
  <si>
    <t xml:space="preserve">POLO RUGBY BROTHER BURDEOS</t>
  </si>
  <si>
    <t xml:space="preserve">226061880141</t>
  </si>
  <si>
    <t xml:space="preserve">POLO RUGBY BROTHER MARINO</t>
  </si>
  <si>
    <t xml:space="preserve">226061880155</t>
  </si>
  <si>
    <t xml:space="preserve">POLO RUGBY BROTHER KHAKI</t>
  </si>
  <si>
    <t xml:space="preserve">226061880185</t>
  </si>
  <si>
    <t xml:space="preserve">POLO RUGBY BROTHER GRIS MELANGE</t>
  </si>
  <si>
    <t xml:space="preserve">226051550159</t>
  </si>
  <si>
    <t xml:space="preserve">SUDADERA HOODIE CREATIVE STUDIO VERDE OSCURO</t>
  </si>
  <si>
    <t xml:space="preserve">225051550541 — SUDADERA HOODIE MARINO OSCURO</t>
  </si>
  <si>
    <t xml:space="preserve">226051550241</t>
  </si>
  <si>
    <t xml:space="preserve">SUDADERA HOODIE CIRCLE SCOTTA 1985 MARINO</t>
  </si>
  <si>
    <t xml:space="preserve">226051560141</t>
  </si>
  <si>
    <t xml:space="preserve">SUDADERA SCT MARINO</t>
  </si>
  <si>
    <t xml:space="preserve">225051560241 — SUDADERA LOGO MARINO</t>
  </si>
  <si>
    <t xml:space="preserve">[ALTA] revisado con foto: sustituye la propuesta automática (verde con estampado grande) por esta, lisa marino con logo pequeño — mucho más parecida al original.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</si>
</sst>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olSustitutos" displayName="PoolSustitutos" ref="A4:L108" headerRowCount="1" totalsRowCount="0" totalsRowShown="0">
  <autoFilter ref="A4:L108"/>
  <tableColumns count="12">
    <tableColumn id="1" name="FAMILIA"/>
    <tableColumn id="2" name="REFERENCIA"/>
    <tableColumn id="3" name="DESCRIPCIÓN"/>
    <tableColumn id="4" name="CATEGORÍA (A/B/C)"/>
    <tableColumn id="5" name="TRAMO"/>
    <tableColumn id="6" name="ESTAC"/>
    <tableColumn id="7" name="Nº TALLAS"/>
    <tableColumn id="8" name="STOCK TOTAL"/>
    <tableColumn id="9" name="Nº TIENDAS QUE LO RECIBEN"/>
    <tableColumn id="10" name="STOCK / TIENDA"/>
    <tableColumn id="11" name="STOCK / TIENDA / TALLA"/>
    <tableColumn id="12" name="AVISO"/>
  </tableColumns>
</table>
</file>

<file path=xl/tables/table2.xml><?xml version="1.0" encoding="utf-8"?>
<table xmlns="http://schemas.openxmlformats.org/spreadsheetml/2006/main" id="2" name="RiesgoAdulto" displayName="RiesgoAdulto" ref="A5:H56" headerRowCount="1" totalsRowCount="0" totalsRowShown="0">
  <autoFilter ref="A5:H56"/>
  <tableColumns count="8">
    <tableColumn id="1" name="FAMILIA"/>
    <tableColumn id="2" name="MES ENTREGA PREVISTA"/>
    <tableColumn id="3" name="ARTÍCULO W26"/>
    <tableColumn id="4" name="DESCRIPCIÓN"/>
    <tableColumn id="5" name="ESTADO 9/9"/>
    <tableColumn id="6" name="SUSTITUTO PROPUESTO (referencia)"/>
    <tableColumn id="7" name="TRAMO ASIGNADO"/>
    <tableColumn id="8" name="COMENTA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4"/>
    <col collapsed="false" customWidth="true" hidden="false" outlineLevel="0" max="3" min="3" style="1" width="1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314.25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8" customFormat="false" ht="15" hidden="false" customHeight="true" outlineLevel="0" collapsed="false">
      <c r="A8" s="4" t="s">
        <v>7</v>
      </c>
    </row>
    <row r="9" customFormat="false" ht="15" hidden="false" customHeight="true" outlineLevel="0" collapsed="false">
      <c r="A9" s="5" t="s">
        <v>8</v>
      </c>
      <c r="C9" s="7" t="n">
        <f aca="false">COUNTA('Riesgo ADULTO'!C6:C56)</f>
        <v>51</v>
      </c>
    </row>
    <row r="10" customFormat="false" ht="15" hidden="false" customHeight="true" outlineLevel="0" collapsed="false">
      <c r="A10" s="5" t="s">
        <v>9</v>
      </c>
      <c r="C10" s="7" t="n">
        <f aca="false">COUNTBLANK('Riesgo ADULTO'!F6:F56)</f>
        <v>0</v>
      </c>
    </row>
    <row r="11" customFormat="false" ht="15" hidden="false" customHeight="true" outlineLevel="0" collapsed="false">
      <c r="A11" s="8" t="s">
        <v>10</v>
      </c>
      <c r="C11" s="7" t="n">
        <f aca="false">COUNTIF('Riesgo ADULTO'!F6:F56,"SIN SUSTITUTO*")</f>
        <v>2</v>
      </c>
    </row>
    <row r="12" customFormat="false" ht="15" hidden="false" customHeight="true" outlineLevel="0" collapsed="false">
      <c r="A12" s="5" t="s">
        <v>11</v>
      </c>
      <c r="C12" s="7" t="n">
        <f aca="false">COUNTA('Pool sustitutos'!B5:B108)</f>
        <v>104</v>
      </c>
    </row>
    <row r="13" customFormat="false" ht="15" hidden="false" customHeight="true" outlineLevel="0" collapsed="false">
      <c r="A13" s="5" t="s">
        <v>12</v>
      </c>
      <c r="C13" s="7" t="n">
        <f aca="false">COUNTIF('Pool sustitutos'!L5:L108,"⚠*")</f>
        <v>28</v>
      </c>
    </row>
    <row r="14" customFormat="false" ht="15" hidden="false" customHeight="false" outlineLevel="0" collapsed="false">
      <c r="A14" s="5" t="s">
        <v>13</v>
      </c>
      <c r="C14" s="7" t="n">
        <f aca="false">COUNTA('Tiendas por tramo'!A14:A49)</f>
        <v>36</v>
      </c>
    </row>
    <row r="16" customFormat="false" ht="15" hidden="false" customHeight="true" outlineLevel="0" collapsed="false"/>
    <row r="17" customFormat="false" ht="15.75" hidden="false" customHeight="true" outlineLevel="0" collapsed="false">
      <c r="A17" s="4" t="s">
        <v>14</v>
      </c>
    </row>
    <row r="18" customFormat="false" ht="15.75" hidden="false" customHeight="true" outlineLevel="0" collapsed="false">
      <c r="A18" s="5" t="s">
        <v>15</v>
      </c>
    </row>
    <row r="19" customFormat="false" ht="15.75" hidden="false" customHeight="true" outlineLevel="0" collapsed="false">
      <c r="A19" s="5" t="s">
        <v>16</v>
      </c>
    </row>
    <row r="20" customFormat="false" ht="15.75" hidden="false" customHeight="true" outlineLevel="0" collapsed="false">
      <c r="A20" s="5" t="s">
        <v>17</v>
      </c>
    </row>
    <row r="21" customFormat="false" ht="15.75" hidden="false" customHeight="true" outlineLevel="0" collapsed="false">
      <c r="A21" s="5" t="s">
        <v>18</v>
      </c>
    </row>
    <row r="22" customFormat="false" ht="15" hidden="false" customHeight="false" outlineLevel="0" collapsed="false">
      <c r="A2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9" t="s">
        <v>20</v>
      </c>
    </row>
    <row r="2" customFormat="false" ht="15" hidden="false" customHeight="true" outlineLevel="0" collapsed="false">
      <c r="A2" s="3" t="s">
        <v>21</v>
      </c>
    </row>
    <row r="4" customFormat="false" ht="34.5" hidden="false" customHeight="true" outlineLevel="0" collapsed="false">
      <c r="A4" s="10" t="s">
        <v>22</v>
      </c>
      <c r="B4" s="10" t="s">
        <v>23</v>
      </c>
      <c r="C4" s="10" t="s">
        <v>24</v>
      </c>
      <c r="D4" s="10" t="s">
        <v>25</v>
      </c>
    </row>
    <row r="5" customFormat="false" ht="15" hidden="false" customHeight="true" outlineLevel="0" collapsed="false">
      <c r="A5" s="11" t="s">
        <v>26</v>
      </c>
      <c r="B5" s="12" t="n">
        <v>4</v>
      </c>
      <c r="C5" s="12" t="n">
        <v>4</v>
      </c>
      <c r="D5" s="11" t="s">
        <v>27</v>
      </c>
    </row>
    <row r="6" customFormat="false" ht="15" hidden="false" customHeight="true" outlineLevel="0" collapsed="false">
      <c r="A6" s="11" t="s">
        <v>28</v>
      </c>
      <c r="B6" s="12" t="n">
        <v>4</v>
      </c>
      <c r="C6" s="12" t="n">
        <v>8</v>
      </c>
      <c r="D6" s="11" t="s">
        <v>29</v>
      </c>
    </row>
    <row r="7" customFormat="false" ht="15" hidden="false" customHeight="true" outlineLevel="0" collapsed="false">
      <c r="A7" s="11" t="s">
        <v>30</v>
      </c>
      <c r="B7" s="12" t="n">
        <v>7</v>
      </c>
      <c r="C7" s="12" t="n">
        <v>7</v>
      </c>
      <c r="D7" s="11" t="s">
        <v>31</v>
      </c>
    </row>
    <row r="8" customFormat="false" ht="15" hidden="false" customHeight="true" outlineLevel="0" collapsed="false">
      <c r="A8" s="11" t="s">
        <v>32</v>
      </c>
      <c r="B8" s="12" t="n">
        <v>5</v>
      </c>
      <c r="C8" s="12" t="n">
        <v>12</v>
      </c>
      <c r="D8" s="11" t="s">
        <v>33</v>
      </c>
    </row>
    <row r="9" customFormat="false" ht="15" hidden="false" customHeight="true" outlineLevel="0" collapsed="false">
      <c r="A9" s="11" t="s">
        <v>34</v>
      </c>
      <c r="B9" s="12" t="n">
        <v>3</v>
      </c>
      <c r="C9" s="12" t="n">
        <v>3</v>
      </c>
      <c r="D9" s="11" t="s">
        <v>35</v>
      </c>
    </row>
    <row r="10" customFormat="false" ht="15" hidden="false" customHeight="true" outlineLevel="0" collapsed="false">
      <c r="A10" s="11" t="s">
        <v>36</v>
      </c>
      <c r="B10" s="12" t="n">
        <v>12</v>
      </c>
      <c r="C10" s="12" t="n">
        <v>15</v>
      </c>
      <c r="D10" s="11" t="s">
        <v>37</v>
      </c>
    </row>
    <row r="12" customFormat="false" ht="15" hidden="false" customHeight="true" outlineLevel="0" collapsed="false">
      <c r="A12" s="4" t="s">
        <v>38</v>
      </c>
    </row>
    <row r="13" customFormat="false" ht="23.25" hidden="false" customHeight="true" outlineLevel="0" collapsed="false">
      <c r="A13" s="10" t="s">
        <v>39</v>
      </c>
      <c r="B13" s="10" t="s">
        <v>25</v>
      </c>
      <c r="C13" s="10" t="s">
        <v>40</v>
      </c>
      <c r="D13" s="10" t="s">
        <v>41</v>
      </c>
    </row>
    <row r="14" customFormat="false" ht="15" hidden="false" customHeight="true" outlineLevel="0" collapsed="false">
      <c r="A14" s="11" t="n">
        <v>1</v>
      </c>
      <c r="B14" s="11" t="s">
        <v>42</v>
      </c>
      <c r="C14" s="11" t="s">
        <v>43</v>
      </c>
      <c r="D14" s="11" t="s">
        <v>26</v>
      </c>
    </row>
    <row r="15" customFormat="false" ht="15" hidden="false" customHeight="true" outlineLevel="0" collapsed="false">
      <c r="A15" s="11" t="n">
        <v>2</v>
      </c>
      <c r="B15" s="11" t="s">
        <v>44</v>
      </c>
      <c r="C15" s="11" t="s">
        <v>45</v>
      </c>
      <c r="D15" s="11" t="s">
        <v>30</v>
      </c>
    </row>
    <row r="16" customFormat="false" ht="15" hidden="false" customHeight="true" outlineLevel="0" collapsed="false">
      <c r="A16" s="11" t="n">
        <v>7</v>
      </c>
      <c r="B16" s="11" t="s">
        <v>46</v>
      </c>
      <c r="C16" s="11" t="s">
        <v>47</v>
      </c>
      <c r="D16" s="11" t="s">
        <v>36</v>
      </c>
    </row>
    <row r="17" customFormat="false" ht="15" hidden="false" customHeight="true" outlineLevel="0" collapsed="false">
      <c r="A17" s="11" t="n">
        <v>8</v>
      </c>
      <c r="B17" s="11" t="s">
        <v>48</v>
      </c>
      <c r="C17" s="11" t="s">
        <v>43</v>
      </c>
      <c r="D17" s="11" t="s">
        <v>26</v>
      </c>
    </row>
    <row r="18" customFormat="false" ht="15" hidden="false" customHeight="true" outlineLevel="0" collapsed="false">
      <c r="A18" s="11" t="n">
        <v>10</v>
      </c>
      <c r="B18" s="11" t="s">
        <v>49</v>
      </c>
      <c r="C18" s="11" t="s">
        <v>47</v>
      </c>
      <c r="D18" s="11" t="s">
        <v>36</v>
      </c>
    </row>
    <row r="19" customFormat="false" ht="15" hidden="false" customHeight="true" outlineLevel="0" collapsed="false">
      <c r="A19" s="11" t="n">
        <v>12</v>
      </c>
      <c r="B19" s="11" t="s">
        <v>50</v>
      </c>
      <c r="C19" s="11" t="s">
        <v>43</v>
      </c>
      <c r="D19" s="11" t="s">
        <v>26</v>
      </c>
    </row>
    <row r="20" customFormat="false" ht="15" hidden="false" customHeight="true" outlineLevel="0" collapsed="false">
      <c r="A20" s="11" t="n">
        <v>13</v>
      </c>
      <c r="B20" s="11" t="s">
        <v>51</v>
      </c>
      <c r="C20" s="11" t="s">
        <v>47</v>
      </c>
      <c r="D20" s="11" t="s">
        <v>36</v>
      </c>
    </row>
    <row r="21" customFormat="false" ht="15" hidden="false" customHeight="true" outlineLevel="0" collapsed="false">
      <c r="A21" s="11" t="n">
        <v>14</v>
      </c>
      <c r="B21" s="11" t="s">
        <v>52</v>
      </c>
      <c r="C21" s="11" t="s">
        <v>45</v>
      </c>
      <c r="D21" s="11" t="s">
        <v>30</v>
      </c>
    </row>
    <row r="22" customFormat="false" ht="15" hidden="false" customHeight="true" outlineLevel="0" collapsed="false">
      <c r="A22" s="11" t="n">
        <v>15</v>
      </c>
      <c r="B22" s="11" t="s">
        <v>53</v>
      </c>
      <c r="C22" s="11" t="s">
        <v>45</v>
      </c>
      <c r="D22" s="11" t="s">
        <v>30</v>
      </c>
    </row>
    <row r="23" customFormat="false" ht="15" hidden="false" customHeight="true" outlineLevel="0" collapsed="false">
      <c r="A23" s="11" t="n">
        <v>20</v>
      </c>
      <c r="B23" s="11" t="s">
        <v>54</v>
      </c>
      <c r="C23" s="11" t="s">
        <v>43</v>
      </c>
      <c r="D23" s="11" t="s">
        <v>26</v>
      </c>
    </row>
    <row r="24" customFormat="false" ht="15" hidden="false" customHeight="true" outlineLevel="0" collapsed="false">
      <c r="A24" s="11" t="n">
        <v>21</v>
      </c>
      <c r="B24" s="11" t="s">
        <v>55</v>
      </c>
      <c r="C24" s="11" t="s">
        <v>47</v>
      </c>
      <c r="D24" s="11" t="s">
        <v>34</v>
      </c>
    </row>
    <row r="25" customFormat="false" ht="15" hidden="false" customHeight="true" outlineLevel="0" collapsed="false">
      <c r="A25" s="11" t="n">
        <v>27</v>
      </c>
      <c r="B25" s="11" t="s">
        <v>56</v>
      </c>
      <c r="C25" s="11" t="s">
        <v>45</v>
      </c>
      <c r="D25" s="11" t="s">
        <v>32</v>
      </c>
    </row>
    <row r="26" customFormat="false" ht="15" hidden="false" customHeight="true" outlineLevel="0" collapsed="false">
      <c r="A26" s="11" t="n">
        <v>28</v>
      </c>
      <c r="B26" s="11" t="s">
        <v>57</v>
      </c>
      <c r="C26" s="11" t="s">
        <v>45</v>
      </c>
      <c r="D26" s="11" t="s">
        <v>32</v>
      </c>
    </row>
    <row r="27" customFormat="false" ht="15" hidden="false" customHeight="true" outlineLevel="0" collapsed="false">
      <c r="A27" s="11" t="n">
        <v>29</v>
      </c>
      <c r="B27" s="11" t="s">
        <v>58</v>
      </c>
      <c r="C27" s="11" t="s">
        <v>43</v>
      </c>
      <c r="D27" s="11" t="s">
        <v>28</v>
      </c>
    </row>
    <row r="28" customFormat="false" ht="15" hidden="false" customHeight="true" outlineLevel="0" collapsed="false">
      <c r="A28" s="11" t="n">
        <v>60</v>
      </c>
      <c r="B28" s="11" t="s">
        <v>59</v>
      </c>
      <c r="C28" s="11" t="s">
        <v>45</v>
      </c>
      <c r="D28" s="11" t="s">
        <v>32</v>
      </c>
    </row>
    <row r="29" customFormat="false" ht="15" hidden="false" customHeight="true" outlineLevel="0" collapsed="false">
      <c r="A29" s="11" t="n">
        <v>64</v>
      </c>
      <c r="B29" s="11" t="s">
        <v>60</v>
      </c>
      <c r="C29" s="11" t="s">
        <v>47</v>
      </c>
      <c r="D29" s="11" t="s">
        <v>36</v>
      </c>
    </row>
    <row r="30" customFormat="false" ht="15" hidden="false" customHeight="true" outlineLevel="0" collapsed="false">
      <c r="A30" s="11" t="n">
        <v>67</v>
      </c>
      <c r="B30" s="11" t="s">
        <v>61</v>
      </c>
      <c r="C30" s="11"/>
      <c r="D30" s="11"/>
    </row>
    <row r="31" customFormat="false" ht="15" hidden="false" customHeight="true" outlineLevel="0" collapsed="false">
      <c r="A31" s="11" t="n">
        <v>68</v>
      </c>
      <c r="B31" s="11" t="s">
        <v>62</v>
      </c>
      <c r="C31" s="11" t="s">
        <v>43</v>
      </c>
      <c r="D31" s="11" t="s">
        <v>28</v>
      </c>
    </row>
    <row r="32" customFormat="false" ht="15" hidden="false" customHeight="true" outlineLevel="0" collapsed="false">
      <c r="A32" s="11" t="n">
        <v>69</v>
      </c>
      <c r="B32" s="11" t="s">
        <v>63</v>
      </c>
      <c r="C32" s="11" t="s">
        <v>47</v>
      </c>
      <c r="D32" s="11" t="s">
        <v>34</v>
      </c>
    </row>
    <row r="33" customFormat="false" ht="15" hidden="false" customHeight="true" outlineLevel="0" collapsed="false">
      <c r="A33" s="11" t="n">
        <v>70</v>
      </c>
      <c r="B33" s="11" t="s">
        <v>64</v>
      </c>
      <c r="C33" s="11" t="s">
        <v>43</v>
      </c>
      <c r="D33" s="11" t="s">
        <v>28</v>
      </c>
    </row>
    <row r="34" customFormat="false" ht="15" hidden="false" customHeight="true" outlineLevel="0" collapsed="false">
      <c r="A34" s="11" t="n">
        <v>71</v>
      </c>
      <c r="B34" s="11" t="s">
        <v>65</v>
      </c>
      <c r="C34" s="11" t="s">
        <v>47</v>
      </c>
      <c r="D34" s="11" t="s">
        <v>36</v>
      </c>
    </row>
    <row r="35" customFormat="false" ht="15" hidden="false" customHeight="true" outlineLevel="0" collapsed="false">
      <c r="A35" s="11" t="n">
        <v>78</v>
      </c>
      <c r="B35" s="11" t="s">
        <v>66</v>
      </c>
      <c r="C35" s="11" t="s">
        <v>47</v>
      </c>
      <c r="D35" s="11" t="s">
        <v>36</v>
      </c>
    </row>
    <row r="36" customFormat="false" ht="15" hidden="false" customHeight="true" outlineLevel="0" collapsed="false">
      <c r="A36" s="11" t="n">
        <v>80</v>
      </c>
      <c r="B36" s="11" t="s">
        <v>67</v>
      </c>
      <c r="C36" s="11" t="s">
        <v>47</v>
      </c>
      <c r="D36" s="11" t="s">
        <v>36</v>
      </c>
    </row>
    <row r="37" customFormat="false" ht="15" hidden="false" customHeight="true" outlineLevel="0" collapsed="false">
      <c r="A37" s="11" t="n">
        <v>81</v>
      </c>
      <c r="B37" s="11" t="s">
        <v>68</v>
      </c>
      <c r="C37" s="11" t="s">
        <v>47</v>
      </c>
      <c r="D37" s="11" t="s">
        <v>36</v>
      </c>
    </row>
    <row r="38" customFormat="false" ht="15" hidden="false" customHeight="true" outlineLevel="0" collapsed="false">
      <c r="A38" s="11" t="n">
        <v>83</v>
      </c>
      <c r="B38" s="11" t="s">
        <v>69</v>
      </c>
      <c r="C38" s="11" t="s">
        <v>47</v>
      </c>
      <c r="D38" s="11" t="s">
        <v>36</v>
      </c>
    </row>
    <row r="39" customFormat="false" ht="15" hidden="false" customHeight="true" outlineLevel="0" collapsed="false">
      <c r="A39" s="11" t="n">
        <v>92</v>
      </c>
      <c r="B39" s="11" t="s">
        <v>70</v>
      </c>
      <c r="C39" s="11" t="s">
        <v>45</v>
      </c>
      <c r="D39" s="11" t="s">
        <v>30</v>
      </c>
    </row>
    <row r="40" customFormat="false" ht="15" hidden="false" customHeight="true" outlineLevel="0" collapsed="false">
      <c r="A40" s="11" t="n">
        <v>93</v>
      </c>
      <c r="B40" s="11" t="s">
        <v>71</v>
      </c>
      <c r="C40" s="11" t="s">
        <v>45</v>
      </c>
      <c r="D40" s="11" t="s">
        <v>30</v>
      </c>
    </row>
    <row r="41" customFormat="false" ht="15" hidden="false" customHeight="true" outlineLevel="0" collapsed="false">
      <c r="A41" s="11" t="n">
        <v>103</v>
      </c>
      <c r="B41" s="11" t="s">
        <v>72</v>
      </c>
      <c r="C41" s="11" t="s">
        <v>43</v>
      </c>
      <c r="D41" s="11" t="s">
        <v>28</v>
      </c>
    </row>
    <row r="42" customFormat="false" ht="15" hidden="false" customHeight="true" outlineLevel="0" collapsed="false">
      <c r="A42" s="11" t="n">
        <v>106</v>
      </c>
      <c r="B42" s="11" t="s">
        <v>73</v>
      </c>
      <c r="C42" s="11" t="s">
        <v>47</v>
      </c>
      <c r="D42" s="11" t="s">
        <v>36</v>
      </c>
    </row>
    <row r="43" customFormat="false" ht="15" hidden="false" customHeight="true" outlineLevel="0" collapsed="false">
      <c r="A43" s="11" t="n">
        <v>115</v>
      </c>
      <c r="B43" s="11" t="s">
        <v>74</v>
      </c>
      <c r="C43" s="11" t="s">
        <v>45</v>
      </c>
      <c r="D43" s="11" t="s">
        <v>32</v>
      </c>
    </row>
    <row r="44" customFormat="false" ht="15" hidden="false" customHeight="true" outlineLevel="0" collapsed="false">
      <c r="A44" s="11" t="n">
        <v>118</v>
      </c>
      <c r="B44" s="11" t="s">
        <v>75</v>
      </c>
      <c r="C44" s="11" t="s">
        <v>47</v>
      </c>
      <c r="D44" s="11" t="s">
        <v>36</v>
      </c>
    </row>
    <row r="45" customFormat="false" ht="15" hidden="false" customHeight="true" outlineLevel="0" collapsed="false">
      <c r="A45" s="11" t="n">
        <v>119</v>
      </c>
      <c r="B45" s="11" t="s">
        <v>76</v>
      </c>
      <c r="C45" s="11" t="s">
        <v>45</v>
      </c>
      <c r="D45" s="11" t="s">
        <v>30</v>
      </c>
    </row>
    <row r="46" customFormat="false" ht="15" hidden="false" customHeight="true" outlineLevel="0" collapsed="false">
      <c r="A46" s="11" t="n">
        <v>120</v>
      </c>
      <c r="B46" s="11" t="s">
        <v>77</v>
      </c>
      <c r="C46" s="11" t="s">
        <v>45</v>
      </c>
      <c r="D46" s="11" t="s">
        <v>30</v>
      </c>
    </row>
    <row r="47" customFormat="false" ht="15" hidden="false" customHeight="true" outlineLevel="0" collapsed="false">
      <c r="A47" s="11" t="n">
        <v>122</v>
      </c>
      <c r="B47" s="11" t="s">
        <v>78</v>
      </c>
      <c r="C47" s="11" t="s">
        <v>47</v>
      </c>
      <c r="D47" s="11" t="s">
        <v>36</v>
      </c>
    </row>
    <row r="48" customFormat="false" ht="15" hidden="false" customHeight="true" outlineLevel="0" collapsed="false">
      <c r="A48" s="11" t="n">
        <v>123</v>
      </c>
      <c r="B48" s="11" t="s">
        <v>79</v>
      </c>
      <c r="C48" s="11" t="s">
        <v>45</v>
      </c>
      <c r="D48" s="11" t="s">
        <v>32</v>
      </c>
    </row>
    <row r="49" customFormat="false" ht="15" hidden="false" customHeight="true" outlineLevel="0" collapsed="false">
      <c r="A49" s="11" t="n">
        <v>124</v>
      </c>
      <c r="B49" s="11" t="s">
        <v>80</v>
      </c>
      <c r="C49" s="11" t="s">
        <v>47</v>
      </c>
      <c r="D49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5"/>
  </cols>
  <sheetData>
    <row r="1" customFormat="false" ht="17.25" hidden="false" customHeight="true" outlineLevel="0" collapsed="false">
      <c r="A1" s="9" t="s">
        <v>81</v>
      </c>
    </row>
    <row r="2" customFormat="false" ht="15" hidden="false" customHeight="true" outlineLevel="0" collapsed="false">
      <c r="A2" s="3" t="s">
        <v>82</v>
      </c>
    </row>
    <row r="4" customFormat="false" ht="45.75" hidden="false" customHeight="true" outlineLevel="0" collapsed="false">
      <c r="A4" s="10" t="s">
        <v>83</v>
      </c>
      <c r="B4" s="10" t="s">
        <v>84</v>
      </c>
      <c r="C4" s="10" t="s">
        <v>25</v>
      </c>
      <c r="D4" s="10" t="s">
        <v>85</v>
      </c>
      <c r="E4" s="10" t="s">
        <v>22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  <c r="L4" s="10" t="s">
        <v>92</v>
      </c>
    </row>
    <row r="5" customFormat="false" ht="15" hidden="false" customHeight="true" outlineLevel="0" collapsed="false">
      <c r="A5" s="11" t="s">
        <v>93</v>
      </c>
      <c r="B5" s="11" t="s">
        <v>94</v>
      </c>
      <c r="C5" s="11" t="s">
        <v>95</v>
      </c>
      <c r="D5" s="11" t="s">
        <v>43</v>
      </c>
      <c r="E5" s="11" t="s">
        <v>26</v>
      </c>
      <c r="F5" s="11" t="s">
        <v>96</v>
      </c>
      <c r="G5" s="12" t="n">
        <v>7</v>
      </c>
      <c r="H5" s="12" t="n">
        <v>35</v>
      </c>
      <c r="I5" s="12" t="n">
        <f aca="false">INDEX('Tiendas por tramo'!$C$5:$C$10,MATCH(E5,'Tiendas por tramo'!$A$5:$A$10,0))</f>
        <v>4</v>
      </c>
      <c r="J5" s="13" t="n">
        <f aca="false">IFERROR(H5/I5,"")</f>
        <v>8.75</v>
      </c>
      <c r="K5" s="14" t="n">
        <f aca="false">IFERROR(J5/G5,"")</f>
        <v>1.25</v>
      </c>
      <c r="L5" s="11" t="str">
        <f aca="false">IF(K5&lt;1,"⚠ revisar stock","")</f>
        <v/>
      </c>
    </row>
    <row r="6" customFormat="false" ht="15" hidden="false" customHeight="true" outlineLevel="0" collapsed="false">
      <c r="A6" s="11" t="s">
        <v>93</v>
      </c>
      <c r="B6" s="11" t="s">
        <v>97</v>
      </c>
      <c r="C6" s="11" t="s">
        <v>98</v>
      </c>
      <c r="D6" s="11" t="s">
        <v>43</v>
      </c>
      <c r="E6" s="11" t="s">
        <v>26</v>
      </c>
      <c r="F6" s="11" t="s">
        <v>99</v>
      </c>
      <c r="G6" s="12" t="n">
        <v>7</v>
      </c>
      <c r="H6" s="12" t="n">
        <v>31</v>
      </c>
      <c r="I6" s="12" t="n">
        <f aca="false">INDEX('Tiendas por tramo'!$C$5:$C$10,MATCH(E6,'Tiendas por tramo'!$A$5:$A$10,0))</f>
        <v>4</v>
      </c>
      <c r="J6" s="13" t="n">
        <f aca="false">IFERROR(H6/I6,"")</f>
        <v>7.75</v>
      </c>
      <c r="K6" s="14" t="n">
        <f aca="false">IFERROR(J6/G6,"")</f>
        <v>1.10714285714286</v>
      </c>
      <c r="L6" s="11" t="str">
        <f aca="false">IF(K6&lt;1,"⚠ revisar stock","")</f>
        <v/>
      </c>
    </row>
    <row r="7" customFormat="false" ht="15" hidden="false" customHeight="true" outlineLevel="0" collapsed="false">
      <c r="A7" s="11" t="s">
        <v>93</v>
      </c>
      <c r="B7" s="11" t="s">
        <v>100</v>
      </c>
      <c r="C7" s="11" t="s">
        <v>101</v>
      </c>
      <c r="D7" s="11" t="s">
        <v>43</v>
      </c>
      <c r="E7" s="11" t="s">
        <v>26</v>
      </c>
      <c r="F7" s="11" t="s">
        <v>99</v>
      </c>
      <c r="G7" s="12" t="n">
        <v>7</v>
      </c>
      <c r="H7" s="12" t="n">
        <v>52</v>
      </c>
      <c r="I7" s="12" t="n">
        <f aca="false">INDEX('Tiendas por tramo'!$C$5:$C$10,MATCH(E7,'Tiendas por tramo'!$A$5:$A$10,0))</f>
        <v>4</v>
      </c>
      <c r="J7" s="13" t="n">
        <f aca="false">IFERROR(H7/I7,"")</f>
        <v>13</v>
      </c>
      <c r="K7" s="14" t="n">
        <f aca="false">IFERROR(J7/G7,"")</f>
        <v>1.85714285714286</v>
      </c>
      <c r="L7" s="11" t="str">
        <f aca="false">IF(K7&lt;1,"⚠ revisar stock","")</f>
        <v/>
      </c>
    </row>
    <row r="8" customFormat="false" ht="15" hidden="false" customHeight="true" outlineLevel="0" collapsed="false">
      <c r="A8" s="11" t="s">
        <v>93</v>
      </c>
      <c r="B8" s="11" t="s">
        <v>102</v>
      </c>
      <c r="C8" s="11" t="s">
        <v>103</v>
      </c>
      <c r="D8" s="11" t="s">
        <v>43</v>
      </c>
      <c r="E8" s="11" t="s">
        <v>26</v>
      </c>
      <c r="F8" s="11" t="s">
        <v>99</v>
      </c>
      <c r="G8" s="12" t="n">
        <v>7</v>
      </c>
      <c r="H8" s="12" t="n">
        <v>30</v>
      </c>
      <c r="I8" s="12" t="n">
        <f aca="false">INDEX('Tiendas por tramo'!$C$5:$C$10,MATCH(E8,'Tiendas por tramo'!$A$5:$A$10,0))</f>
        <v>4</v>
      </c>
      <c r="J8" s="13" t="n">
        <f aca="false">IFERROR(H8/I8,"")</f>
        <v>7.5</v>
      </c>
      <c r="K8" s="14" t="n">
        <f aca="false">IFERROR(J8/G8,"")</f>
        <v>1.07142857142857</v>
      </c>
      <c r="L8" s="11" t="str">
        <f aca="false">IF(K8&lt;1,"⚠ revisar stock","")</f>
        <v/>
      </c>
    </row>
    <row r="9" customFormat="false" ht="15" hidden="false" customHeight="true" outlineLevel="0" collapsed="false">
      <c r="A9" s="11" t="s">
        <v>93</v>
      </c>
      <c r="B9" s="11" t="s">
        <v>104</v>
      </c>
      <c r="C9" s="11" t="s">
        <v>105</v>
      </c>
      <c r="D9" s="11" t="s">
        <v>43</v>
      </c>
      <c r="E9" s="11" t="s">
        <v>26</v>
      </c>
      <c r="F9" s="11" t="s">
        <v>96</v>
      </c>
      <c r="G9" s="12" t="n">
        <v>7</v>
      </c>
      <c r="H9" s="12" t="n">
        <v>33</v>
      </c>
      <c r="I9" s="12" t="n">
        <f aca="false">INDEX('Tiendas por tramo'!$C$5:$C$10,MATCH(E9,'Tiendas por tramo'!$A$5:$A$10,0))</f>
        <v>4</v>
      </c>
      <c r="J9" s="13" t="n">
        <f aca="false">IFERROR(H9/I9,"")</f>
        <v>8.25</v>
      </c>
      <c r="K9" s="14" t="n">
        <f aca="false">IFERROR(J9/G9,"")</f>
        <v>1.17857142857143</v>
      </c>
      <c r="L9" s="11" t="str">
        <f aca="false">IF(K9&lt;1,"⚠ revisar stock","")</f>
        <v/>
      </c>
    </row>
    <row r="10" customFormat="false" ht="15" hidden="false" customHeight="true" outlineLevel="0" collapsed="false">
      <c r="A10" s="11" t="s">
        <v>93</v>
      </c>
      <c r="B10" s="11" t="s">
        <v>106</v>
      </c>
      <c r="C10" s="11" t="s">
        <v>107</v>
      </c>
      <c r="D10" s="11" t="s">
        <v>43</v>
      </c>
      <c r="E10" s="11" t="s">
        <v>26</v>
      </c>
      <c r="F10" s="11" t="s">
        <v>99</v>
      </c>
      <c r="G10" s="12" t="n">
        <v>7</v>
      </c>
      <c r="H10" s="12" t="n">
        <v>24</v>
      </c>
      <c r="I10" s="12" t="n">
        <f aca="false">INDEX('Tiendas por tramo'!$C$5:$C$10,MATCH(E10,'Tiendas por tramo'!$A$5:$A$10,0))</f>
        <v>4</v>
      </c>
      <c r="J10" s="13" t="n">
        <f aca="false">IFERROR(H10/I10,"")</f>
        <v>6</v>
      </c>
      <c r="K10" s="14" t="n">
        <f aca="false">IFERROR(J10/G10,"")</f>
        <v>0.857142857142857</v>
      </c>
      <c r="L10" s="11" t="str">
        <f aca="false">IF(K10&lt;1,"⚠ revisar stock","")</f>
        <v>⚠ revisar stock</v>
      </c>
    </row>
    <row r="11" customFormat="false" ht="15" hidden="false" customHeight="true" outlineLevel="0" collapsed="false">
      <c r="A11" s="11" t="s">
        <v>93</v>
      </c>
      <c r="B11" s="11" t="s">
        <v>108</v>
      </c>
      <c r="C11" s="11" t="s">
        <v>109</v>
      </c>
      <c r="D11" s="11" t="s">
        <v>43</v>
      </c>
      <c r="E11" s="11" t="s">
        <v>26</v>
      </c>
      <c r="F11" s="11" t="s">
        <v>96</v>
      </c>
      <c r="G11" s="12" t="n">
        <v>7</v>
      </c>
      <c r="H11" s="12" t="n">
        <v>43</v>
      </c>
      <c r="I11" s="12" t="n">
        <f aca="false">INDEX('Tiendas por tramo'!$C$5:$C$10,MATCH(E11,'Tiendas por tramo'!$A$5:$A$10,0))</f>
        <v>4</v>
      </c>
      <c r="J11" s="13" t="n">
        <f aca="false">IFERROR(H11/I11,"")</f>
        <v>10.75</v>
      </c>
      <c r="K11" s="14" t="n">
        <f aca="false">IFERROR(J11/G11,"")</f>
        <v>1.53571428571429</v>
      </c>
      <c r="L11" s="11" t="str">
        <f aca="false">IF(K11&lt;1,"⚠ revisar stock","")</f>
        <v/>
      </c>
    </row>
    <row r="12" customFormat="false" ht="15" hidden="false" customHeight="true" outlineLevel="0" collapsed="false">
      <c r="A12" s="11" t="s">
        <v>93</v>
      </c>
      <c r="B12" s="11" t="s">
        <v>110</v>
      </c>
      <c r="C12" s="11" t="s">
        <v>111</v>
      </c>
      <c r="D12" s="11" t="s">
        <v>43</v>
      </c>
      <c r="E12" s="11" t="s">
        <v>28</v>
      </c>
      <c r="F12" s="11" t="s">
        <v>96</v>
      </c>
      <c r="G12" s="12" t="n">
        <v>7</v>
      </c>
      <c r="H12" s="12" t="n">
        <v>95</v>
      </c>
      <c r="I12" s="12" t="n">
        <f aca="false">INDEX('Tiendas por tramo'!$C$5:$C$10,MATCH(E12,'Tiendas por tramo'!$A$5:$A$10,0))</f>
        <v>8</v>
      </c>
      <c r="J12" s="13" t="n">
        <f aca="false">IFERROR(H12/I12,"")</f>
        <v>11.875</v>
      </c>
      <c r="K12" s="14" t="n">
        <f aca="false">IFERROR(J12/G12,"")</f>
        <v>1.69642857142857</v>
      </c>
      <c r="L12" s="11" t="str">
        <f aca="false">IF(K12&lt;1,"⚠ revisar stock","")</f>
        <v/>
      </c>
    </row>
    <row r="13" customFormat="false" ht="15" hidden="false" customHeight="true" outlineLevel="0" collapsed="false">
      <c r="A13" s="11" t="s">
        <v>93</v>
      </c>
      <c r="B13" s="11" t="s">
        <v>112</v>
      </c>
      <c r="C13" s="11" t="s">
        <v>113</v>
      </c>
      <c r="D13" s="11" t="s">
        <v>43</v>
      </c>
      <c r="E13" s="11" t="s">
        <v>28</v>
      </c>
      <c r="F13" s="11" t="s">
        <v>99</v>
      </c>
      <c r="G13" s="12" t="n">
        <v>7</v>
      </c>
      <c r="H13" s="12" t="n">
        <v>65</v>
      </c>
      <c r="I13" s="12" t="n">
        <f aca="false">INDEX('Tiendas por tramo'!$C$5:$C$10,MATCH(E13,'Tiendas por tramo'!$A$5:$A$10,0))</f>
        <v>8</v>
      </c>
      <c r="J13" s="13" t="n">
        <f aca="false">IFERROR(H13/I13,"")</f>
        <v>8.125</v>
      </c>
      <c r="K13" s="14" t="n">
        <f aca="false">IFERROR(J13/G13,"")</f>
        <v>1.16071428571429</v>
      </c>
      <c r="L13" s="11" t="str">
        <f aca="false">IF(K13&lt;1,"⚠ revisar stock","")</f>
        <v/>
      </c>
    </row>
    <row r="14" customFormat="false" ht="15" hidden="false" customHeight="true" outlineLevel="0" collapsed="false">
      <c r="A14" s="11" t="s">
        <v>93</v>
      </c>
      <c r="B14" s="11" t="s">
        <v>114</v>
      </c>
      <c r="C14" s="11" t="s">
        <v>115</v>
      </c>
      <c r="D14" s="11" t="s">
        <v>43</v>
      </c>
      <c r="E14" s="11" t="s">
        <v>28</v>
      </c>
      <c r="F14" s="11" t="s">
        <v>96</v>
      </c>
      <c r="G14" s="12" t="n">
        <v>7</v>
      </c>
      <c r="H14" s="12" t="n">
        <v>45</v>
      </c>
      <c r="I14" s="12" t="n">
        <f aca="false">INDEX('Tiendas por tramo'!$C$5:$C$10,MATCH(E14,'Tiendas por tramo'!$A$5:$A$10,0))</f>
        <v>8</v>
      </c>
      <c r="J14" s="13" t="n">
        <f aca="false">IFERROR(H14/I14,"")</f>
        <v>5.625</v>
      </c>
      <c r="K14" s="14" t="n">
        <f aca="false">IFERROR(J14/G14,"")</f>
        <v>0.803571428571429</v>
      </c>
      <c r="L14" s="11" t="str">
        <f aca="false">IF(K14&lt;1,"⚠ revisar stock","")</f>
        <v>⚠ revisar stock</v>
      </c>
    </row>
    <row r="15" customFormat="false" ht="15" hidden="false" customHeight="true" outlineLevel="0" collapsed="false">
      <c r="A15" s="11" t="s">
        <v>93</v>
      </c>
      <c r="B15" s="11" t="s">
        <v>116</v>
      </c>
      <c r="C15" s="11" t="s">
        <v>117</v>
      </c>
      <c r="D15" s="11" t="s">
        <v>43</v>
      </c>
      <c r="E15" s="11" t="s">
        <v>28</v>
      </c>
      <c r="F15" s="11" t="s">
        <v>96</v>
      </c>
      <c r="G15" s="12" t="n">
        <v>7</v>
      </c>
      <c r="H15" s="12" t="n">
        <v>47</v>
      </c>
      <c r="I15" s="12" t="n">
        <f aca="false">INDEX('Tiendas por tramo'!$C$5:$C$10,MATCH(E15,'Tiendas por tramo'!$A$5:$A$10,0))</f>
        <v>8</v>
      </c>
      <c r="J15" s="13" t="n">
        <f aca="false">IFERROR(H15/I15,"")</f>
        <v>5.875</v>
      </c>
      <c r="K15" s="14" t="n">
        <f aca="false">IFERROR(J15/G15,"")</f>
        <v>0.839285714285714</v>
      </c>
      <c r="L15" s="11" t="str">
        <f aca="false">IF(K15&lt;1,"⚠ revisar stock","")</f>
        <v>⚠ revisar stock</v>
      </c>
    </row>
    <row r="16" customFormat="false" ht="15" hidden="false" customHeight="true" outlineLevel="0" collapsed="false">
      <c r="A16" s="11" t="s">
        <v>93</v>
      </c>
      <c r="B16" s="11" t="s">
        <v>118</v>
      </c>
      <c r="C16" s="11" t="s">
        <v>119</v>
      </c>
      <c r="D16" s="11" t="s">
        <v>43</v>
      </c>
      <c r="E16" s="11" t="s">
        <v>28</v>
      </c>
      <c r="F16" s="11" t="s">
        <v>96</v>
      </c>
      <c r="G16" s="12" t="n">
        <v>7</v>
      </c>
      <c r="H16" s="12" t="n">
        <v>100</v>
      </c>
      <c r="I16" s="12" t="n">
        <f aca="false">INDEX('Tiendas por tramo'!$C$5:$C$10,MATCH(E16,'Tiendas por tramo'!$A$5:$A$10,0))</f>
        <v>8</v>
      </c>
      <c r="J16" s="13" t="n">
        <f aca="false">IFERROR(H16/I16,"")</f>
        <v>12.5</v>
      </c>
      <c r="K16" s="14" t="n">
        <f aca="false">IFERROR(J16/G16,"")</f>
        <v>1.78571428571429</v>
      </c>
      <c r="L16" s="11" t="str">
        <f aca="false">IF(K16&lt;1,"⚠ revisar stock","")</f>
        <v/>
      </c>
    </row>
    <row r="17" customFormat="false" ht="15" hidden="false" customHeight="true" outlineLevel="0" collapsed="false">
      <c r="A17" s="11" t="s">
        <v>93</v>
      </c>
      <c r="B17" s="11" t="s">
        <v>120</v>
      </c>
      <c r="C17" s="11" t="s">
        <v>121</v>
      </c>
      <c r="D17" s="11" t="s">
        <v>43</v>
      </c>
      <c r="E17" s="11" t="s">
        <v>28</v>
      </c>
      <c r="F17" s="11" t="s">
        <v>99</v>
      </c>
      <c r="G17" s="12" t="n">
        <v>7</v>
      </c>
      <c r="H17" s="12" t="n">
        <v>81</v>
      </c>
      <c r="I17" s="12" t="n">
        <f aca="false">INDEX('Tiendas por tramo'!$C$5:$C$10,MATCH(E17,'Tiendas por tramo'!$A$5:$A$10,0))</f>
        <v>8</v>
      </c>
      <c r="J17" s="13" t="n">
        <f aca="false">IFERROR(H17/I17,"")</f>
        <v>10.125</v>
      </c>
      <c r="K17" s="14" t="n">
        <f aca="false">IFERROR(J17/G17,"")</f>
        <v>1.44642857142857</v>
      </c>
      <c r="L17" s="11" t="str">
        <f aca="false">IF(K17&lt;1,"⚠ revisar stock","")</f>
        <v/>
      </c>
    </row>
    <row r="18" customFormat="false" ht="15" hidden="false" customHeight="true" outlineLevel="0" collapsed="false">
      <c r="A18" s="11" t="s">
        <v>93</v>
      </c>
      <c r="B18" s="11" t="s">
        <v>122</v>
      </c>
      <c r="C18" s="11" t="s">
        <v>123</v>
      </c>
      <c r="D18" s="11" t="s">
        <v>45</v>
      </c>
      <c r="E18" s="11" t="s">
        <v>30</v>
      </c>
      <c r="F18" s="11" t="s">
        <v>96</v>
      </c>
      <c r="G18" s="12" t="n">
        <v>7</v>
      </c>
      <c r="H18" s="12" t="n">
        <v>44</v>
      </c>
      <c r="I18" s="12" t="n">
        <f aca="false">INDEX('Tiendas por tramo'!$C$5:$C$10,MATCH(E18,'Tiendas por tramo'!$A$5:$A$10,0))</f>
        <v>7</v>
      </c>
      <c r="J18" s="13" t="n">
        <f aca="false">IFERROR(H18/I18,"")</f>
        <v>6.28571428571429</v>
      </c>
      <c r="K18" s="14" t="n">
        <f aca="false">IFERROR(J18/G18,"")</f>
        <v>0.897959183673469</v>
      </c>
      <c r="L18" s="11" t="str">
        <f aca="false">IF(K18&lt;1,"⚠ revisar stock","")</f>
        <v>⚠ revisar stock</v>
      </c>
    </row>
    <row r="19" customFormat="false" ht="15" hidden="false" customHeight="true" outlineLevel="0" collapsed="false">
      <c r="A19" s="11" t="s">
        <v>93</v>
      </c>
      <c r="B19" s="11" t="s">
        <v>124</v>
      </c>
      <c r="C19" s="11" t="s">
        <v>125</v>
      </c>
      <c r="D19" s="11" t="s">
        <v>45</v>
      </c>
      <c r="E19" s="11" t="s">
        <v>30</v>
      </c>
      <c r="F19" s="11" t="s">
        <v>99</v>
      </c>
      <c r="G19" s="12" t="n">
        <v>7</v>
      </c>
      <c r="H19" s="12" t="n">
        <v>26</v>
      </c>
      <c r="I19" s="12" t="n">
        <f aca="false">INDEX('Tiendas por tramo'!$C$5:$C$10,MATCH(E19,'Tiendas por tramo'!$A$5:$A$10,0))</f>
        <v>7</v>
      </c>
      <c r="J19" s="13" t="n">
        <f aca="false">IFERROR(H19/I19,"")</f>
        <v>3.71428571428571</v>
      </c>
      <c r="K19" s="14" t="n">
        <f aca="false">IFERROR(J19/G19,"")</f>
        <v>0.530612244897959</v>
      </c>
      <c r="L19" s="11" t="str">
        <f aca="false">IF(K19&lt;1,"⚠ revisar stock","")</f>
        <v>⚠ revisar stock</v>
      </c>
    </row>
    <row r="20" customFormat="false" ht="15" hidden="false" customHeight="true" outlineLevel="0" collapsed="false">
      <c r="A20" s="11" t="s">
        <v>93</v>
      </c>
      <c r="B20" s="11" t="s">
        <v>126</v>
      </c>
      <c r="C20" s="11" t="s">
        <v>127</v>
      </c>
      <c r="D20" s="11" t="s">
        <v>45</v>
      </c>
      <c r="E20" s="11" t="s">
        <v>30</v>
      </c>
      <c r="F20" s="11" t="s">
        <v>99</v>
      </c>
      <c r="G20" s="12" t="n">
        <v>7</v>
      </c>
      <c r="H20" s="12" t="n">
        <v>54</v>
      </c>
      <c r="I20" s="12" t="n">
        <f aca="false">INDEX('Tiendas por tramo'!$C$5:$C$10,MATCH(E20,'Tiendas por tramo'!$A$5:$A$10,0))</f>
        <v>7</v>
      </c>
      <c r="J20" s="13" t="n">
        <f aca="false">IFERROR(H20/I20,"")</f>
        <v>7.71428571428571</v>
      </c>
      <c r="K20" s="14" t="n">
        <f aca="false">IFERROR(J20/G20,"")</f>
        <v>1.10204081632653</v>
      </c>
      <c r="L20" s="11" t="str">
        <f aca="false">IF(K20&lt;1,"⚠ revisar stock","")</f>
        <v/>
      </c>
    </row>
    <row r="21" customFormat="false" ht="15" hidden="false" customHeight="true" outlineLevel="0" collapsed="false">
      <c r="A21" s="11" t="s">
        <v>93</v>
      </c>
      <c r="B21" s="11" t="s">
        <v>128</v>
      </c>
      <c r="C21" s="11" t="s">
        <v>129</v>
      </c>
      <c r="D21" s="11" t="s">
        <v>45</v>
      </c>
      <c r="E21" s="11" t="s">
        <v>32</v>
      </c>
      <c r="F21" s="11" t="s">
        <v>96</v>
      </c>
      <c r="G21" s="12" t="n">
        <v>7</v>
      </c>
      <c r="H21" s="12" t="n">
        <v>97</v>
      </c>
      <c r="I21" s="12" t="n">
        <f aca="false">INDEX('Tiendas por tramo'!$C$5:$C$10,MATCH(E21,'Tiendas por tramo'!$A$5:$A$10,0))</f>
        <v>12</v>
      </c>
      <c r="J21" s="13" t="n">
        <f aca="false">IFERROR(H21/I21,"")</f>
        <v>8.08333333333333</v>
      </c>
      <c r="K21" s="14" t="n">
        <f aca="false">IFERROR(J21/G21,"")</f>
        <v>1.1547619047619</v>
      </c>
      <c r="L21" s="11" t="str">
        <f aca="false">IF(K21&lt;1,"⚠ revisar stock","")</f>
        <v/>
      </c>
    </row>
    <row r="22" customFormat="false" ht="15" hidden="false" customHeight="true" outlineLevel="0" collapsed="false">
      <c r="A22" s="11" t="s">
        <v>93</v>
      </c>
      <c r="B22" s="11" t="s">
        <v>130</v>
      </c>
      <c r="C22" s="11" t="s">
        <v>131</v>
      </c>
      <c r="D22" s="11" t="s">
        <v>45</v>
      </c>
      <c r="E22" s="11" t="s">
        <v>32</v>
      </c>
      <c r="F22" s="11" t="s">
        <v>96</v>
      </c>
      <c r="G22" s="12" t="n">
        <v>7</v>
      </c>
      <c r="H22" s="12" t="n">
        <v>94</v>
      </c>
      <c r="I22" s="12" t="n">
        <f aca="false">INDEX('Tiendas por tramo'!$C$5:$C$10,MATCH(E22,'Tiendas por tramo'!$A$5:$A$10,0))</f>
        <v>12</v>
      </c>
      <c r="J22" s="13" t="n">
        <f aca="false">IFERROR(H22/I22,"")</f>
        <v>7.83333333333333</v>
      </c>
      <c r="K22" s="14" t="n">
        <f aca="false">IFERROR(J22/G22,"")</f>
        <v>1.11904761904762</v>
      </c>
      <c r="L22" s="11" t="str">
        <f aca="false">IF(K22&lt;1,"⚠ revisar stock","")</f>
        <v/>
      </c>
    </row>
    <row r="23" customFormat="false" ht="15" hidden="false" customHeight="true" outlineLevel="0" collapsed="false">
      <c r="A23" s="11" t="s">
        <v>93</v>
      </c>
      <c r="B23" s="11" t="s">
        <v>132</v>
      </c>
      <c r="C23" s="11" t="s">
        <v>133</v>
      </c>
      <c r="D23" s="11" t="s">
        <v>47</v>
      </c>
      <c r="E23" s="11" t="s">
        <v>34</v>
      </c>
      <c r="F23" s="11" t="s">
        <v>96</v>
      </c>
      <c r="G23" s="12" t="n">
        <v>7</v>
      </c>
      <c r="H23" s="12" t="n">
        <v>31</v>
      </c>
      <c r="I23" s="12" t="n">
        <f aca="false">INDEX('Tiendas por tramo'!$C$5:$C$10,MATCH(E23,'Tiendas por tramo'!$A$5:$A$10,0))</f>
        <v>3</v>
      </c>
      <c r="J23" s="13" t="n">
        <f aca="false">IFERROR(H23/I23,"")</f>
        <v>10.3333333333333</v>
      </c>
      <c r="K23" s="14" t="n">
        <f aca="false">IFERROR(J23/G23,"")</f>
        <v>1.47619047619048</v>
      </c>
      <c r="L23" s="11" t="str">
        <f aca="false">IF(K23&lt;1,"⚠ revisar stock","")</f>
        <v/>
      </c>
    </row>
    <row r="24" customFormat="false" ht="15" hidden="false" customHeight="true" outlineLevel="0" collapsed="false">
      <c r="A24" s="11" t="s">
        <v>93</v>
      </c>
      <c r="B24" s="11" t="s">
        <v>134</v>
      </c>
      <c r="C24" s="11" t="s">
        <v>135</v>
      </c>
      <c r="D24" s="11" t="s">
        <v>47</v>
      </c>
      <c r="E24" s="11" t="s">
        <v>34</v>
      </c>
      <c r="F24" s="11" t="s">
        <v>99</v>
      </c>
      <c r="G24" s="12" t="n">
        <v>7</v>
      </c>
      <c r="H24" s="12" t="n">
        <v>104</v>
      </c>
      <c r="I24" s="12" t="n">
        <f aca="false">INDEX('Tiendas por tramo'!$C$5:$C$10,MATCH(E24,'Tiendas por tramo'!$A$5:$A$10,0))</f>
        <v>3</v>
      </c>
      <c r="J24" s="13" t="n">
        <f aca="false">IFERROR(H24/I24,"")</f>
        <v>34.6666666666667</v>
      </c>
      <c r="K24" s="14" t="n">
        <f aca="false">IFERROR(J24/G24,"")</f>
        <v>4.95238095238095</v>
      </c>
      <c r="L24" s="11" t="str">
        <f aca="false">IF(K24&lt;1,"⚠ revisar stock","")</f>
        <v/>
      </c>
    </row>
    <row r="25" customFormat="false" ht="15" hidden="false" customHeight="true" outlineLevel="0" collapsed="false">
      <c r="A25" s="11" t="s">
        <v>93</v>
      </c>
      <c r="B25" s="11" t="s">
        <v>136</v>
      </c>
      <c r="C25" s="11" t="s">
        <v>137</v>
      </c>
      <c r="D25" s="11" t="s">
        <v>47</v>
      </c>
      <c r="E25" s="11" t="s">
        <v>34</v>
      </c>
      <c r="F25" s="11" t="s">
        <v>99</v>
      </c>
      <c r="G25" s="12" t="n">
        <v>7</v>
      </c>
      <c r="H25" s="12" t="n">
        <v>50</v>
      </c>
      <c r="I25" s="12" t="n">
        <f aca="false">INDEX('Tiendas por tramo'!$C$5:$C$10,MATCH(E25,'Tiendas por tramo'!$A$5:$A$10,0))</f>
        <v>3</v>
      </c>
      <c r="J25" s="13" t="n">
        <f aca="false">IFERROR(H25/I25,"")</f>
        <v>16.6666666666667</v>
      </c>
      <c r="K25" s="14" t="n">
        <f aca="false">IFERROR(J25/G25,"")</f>
        <v>2.38095238095238</v>
      </c>
      <c r="L25" s="11" t="str">
        <f aca="false">IF(K25&lt;1,"⚠ revisar stock","")</f>
        <v/>
      </c>
    </row>
    <row r="26" customFormat="false" ht="15" hidden="false" customHeight="true" outlineLevel="0" collapsed="false">
      <c r="A26" s="11" t="s">
        <v>93</v>
      </c>
      <c r="B26" s="11" t="s">
        <v>138</v>
      </c>
      <c r="C26" s="11" t="s">
        <v>139</v>
      </c>
      <c r="D26" s="11" t="s">
        <v>47</v>
      </c>
      <c r="E26" s="11" t="s">
        <v>34</v>
      </c>
      <c r="F26" s="11" t="s">
        <v>99</v>
      </c>
      <c r="G26" s="12" t="n">
        <v>7</v>
      </c>
      <c r="H26" s="12" t="n">
        <v>18</v>
      </c>
      <c r="I26" s="12" t="n">
        <f aca="false">INDEX('Tiendas por tramo'!$C$5:$C$10,MATCH(E26,'Tiendas por tramo'!$A$5:$A$10,0))</f>
        <v>3</v>
      </c>
      <c r="J26" s="13" t="n">
        <f aca="false">IFERROR(H26/I26,"")</f>
        <v>6</v>
      </c>
      <c r="K26" s="14" t="n">
        <f aca="false">IFERROR(J26/G26,"")</f>
        <v>0.857142857142857</v>
      </c>
      <c r="L26" s="11" t="str">
        <f aca="false">IF(K26&lt;1,"⚠ revisar stock","")</f>
        <v>⚠ revisar stock</v>
      </c>
    </row>
    <row r="27" customFormat="false" ht="15" hidden="false" customHeight="true" outlineLevel="0" collapsed="false">
      <c r="A27" s="11" t="s">
        <v>93</v>
      </c>
      <c r="B27" s="11" t="s">
        <v>140</v>
      </c>
      <c r="C27" s="11" t="s">
        <v>141</v>
      </c>
      <c r="D27" s="11" t="s">
        <v>47</v>
      </c>
      <c r="E27" s="11" t="s">
        <v>34</v>
      </c>
      <c r="F27" s="11" t="s">
        <v>99</v>
      </c>
      <c r="G27" s="12" t="n">
        <v>7</v>
      </c>
      <c r="H27" s="12" t="n">
        <v>34</v>
      </c>
      <c r="I27" s="12" t="n">
        <f aca="false">INDEX('Tiendas por tramo'!$C$5:$C$10,MATCH(E27,'Tiendas por tramo'!$A$5:$A$10,0))</f>
        <v>3</v>
      </c>
      <c r="J27" s="13" t="n">
        <f aca="false">IFERROR(H27/I27,"")</f>
        <v>11.3333333333333</v>
      </c>
      <c r="K27" s="14" t="n">
        <f aca="false">IFERROR(J27/G27,"")</f>
        <v>1.61904761904762</v>
      </c>
      <c r="L27" s="11" t="str">
        <f aca="false">IF(K27&lt;1,"⚠ revisar stock","")</f>
        <v/>
      </c>
    </row>
    <row r="28" customFormat="false" ht="15" hidden="false" customHeight="true" outlineLevel="0" collapsed="false">
      <c r="A28" s="11" t="s">
        <v>93</v>
      </c>
      <c r="B28" s="11" t="s">
        <v>142</v>
      </c>
      <c r="C28" s="11" t="s">
        <v>143</v>
      </c>
      <c r="D28" s="11" t="s">
        <v>47</v>
      </c>
      <c r="E28" s="11" t="s">
        <v>34</v>
      </c>
      <c r="F28" s="11" t="s">
        <v>99</v>
      </c>
      <c r="G28" s="12" t="n">
        <v>7</v>
      </c>
      <c r="H28" s="12" t="n">
        <v>38</v>
      </c>
      <c r="I28" s="12" t="n">
        <f aca="false">INDEX('Tiendas por tramo'!$C$5:$C$10,MATCH(E28,'Tiendas por tramo'!$A$5:$A$10,0))</f>
        <v>3</v>
      </c>
      <c r="J28" s="13" t="n">
        <f aca="false">IFERROR(H28/I28,"")</f>
        <v>12.6666666666667</v>
      </c>
      <c r="K28" s="14" t="n">
        <f aca="false">IFERROR(J28/G28,"")</f>
        <v>1.80952380952381</v>
      </c>
      <c r="L28" s="11" t="str">
        <f aca="false">IF(K28&lt;1,"⚠ revisar stock","")</f>
        <v/>
      </c>
    </row>
    <row r="29" customFormat="false" ht="15" hidden="false" customHeight="true" outlineLevel="0" collapsed="false">
      <c r="A29" s="11" t="s">
        <v>93</v>
      </c>
      <c r="B29" s="11" t="s">
        <v>144</v>
      </c>
      <c r="C29" s="11" t="s">
        <v>145</v>
      </c>
      <c r="D29" s="11" t="s">
        <v>47</v>
      </c>
      <c r="E29" s="11" t="s">
        <v>36</v>
      </c>
      <c r="F29" s="11" t="s">
        <v>99</v>
      </c>
      <c r="G29" s="12" t="n">
        <v>7</v>
      </c>
      <c r="H29" s="12" t="n">
        <v>116</v>
      </c>
      <c r="I29" s="12" t="n">
        <f aca="false">INDEX('Tiendas por tramo'!$C$5:$C$10,MATCH(E29,'Tiendas por tramo'!$A$5:$A$10,0))</f>
        <v>15</v>
      </c>
      <c r="J29" s="13" t="n">
        <f aca="false">IFERROR(H29/I29,"")</f>
        <v>7.73333333333333</v>
      </c>
      <c r="K29" s="14" t="n">
        <f aca="false">IFERROR(J29/G29,"")</f>
        <v>1.1047619047619</v>
      </c>
      <c r="L29" s="11" t="str">
        <f aca="false">IF(K29&lt;1,"⚠ revisar stock","")</f>
        <v/>
      </c>
    </row>
    <row r="30" customFormat="false" ht="15" hidden="false" customHeight="true" outlineLevel="0" collapsed="false">
      <c r="A30" s="11" t="s">
        <v>93</v>
      </c>
      <c r="B30" s="11" t="s">
        <v>146</v>
      </c>
      <c r="C30" s="11" t="s">
        <v>147</v>
      </c>
      <c r="D30" s="11" t="s">
        <v>47</v>
      </c>
      <c r="E30" s="11" t="s">
        <v>36</v>
      </c>
      <c r="F30" s="11" t="s">
        <v>99</v>
      </c>
      <c r="G30" s="12" t="n">
        <v>7</v>
      </c>
      <c r="H30" s="12" t="n">
        <v>198</v>
      </c>
      <c r="I30" s="12" t="n">
        <f aca="false">INDEX('Tiendas por tramo'!$C$5:$C$10,MATCH(E30,'Tiendas por tramo'!$A$5:$A$10,0))</f>
        <v>15</v>
      </c>
      <c r="J30" s="13" t="n">
        <f aca="false">IFERROR(H30/I30,"")</f>
        <v>13.2</v>
      </c>
      <c r="K30" s="14" t="n">
        <f aca="false">IFERROR(J30/G30,"")</f>
        <v>1.88571428571429</v>
      </c>
      <c r="L30" s="11" t="str">
        <f aca="false">IF(K30&lt;1,"⚠ revisar stock","")</f>
        <v/>
      </c>
    </row>
    <row r="31" customFormat="false" ht="15" hidden="false" customHeight="true" outlineLevel="0" collapsed="false">
      <c r="A31" s="11" t="s">
        <v>148</v>
      </c>
      <c r="B31" s="11" t="s">
        <v>149</v>
      </c>
      <c r="C31" s="11" t="s">
        <v>150</v>
      </c>
      <c r="D31" s="11" t="s">
        <v>43</v>
      </c>
      <c r="E31" s="11" t="s">
        <v>28</v>
      </c>
      <c r="F31" s="11" t="s">
        <v>96</v>
      </c>
      <c r="G31" s="12" t="n">
        <v>7</v>
      </c>
      <c r="H31" s="12" t="n">
        <v>44</v>
      </c>
      <c r="I31" s="12" t="n">
        <f aca="false">INDEX('Tiendas por tramo'!$C$5:$C$10,MATCH(E31,'Tiendas por tramo'!$A$5:$A$10,0))</f>
        <v>8</v>
      </c>
      <c r="J31" s="13" t="n">
        <f aca="false">IFERROR(H31/I31,"")</f>
        <v>5.5</v>
      </c>
      <c r="K31" s="14" t="n">
        <f aca="false">IFERROR(J31/G31,"")</f>
        <v>0.785714285714286</v>
      </c>
      <c r="L31" s="11" t="str">
        <f aca="false">IF(K31&lt;1,"⚠ revisar stock","")</f>
        <v>⚠ revisar stock</v>
      </c>
    </row>
    <row r="32" customFormat="false" ht="15" hidden="false" customHeight="true" outlineLevel="0" collapsed="false">
      <c r="A32" s="11" t="s">
        <v>148</v>
      </c>
      <c r="B32" s="11" t="s">
        <v>151</v>
      </c>
      <c r="C32" s="11" t="s">
        <v>152</v>
      </c>
      <c r="D32" s="11" t="s">
        <v>43</v>
      </c>
      <c r="E32" s="11" t="s">
        <v>28</v>
      </c>
      <c r="F32" s="11" t="s">
        <v>96</v>
      </c>
      <c r="G32" s="12" t="n">
        <v>7</v>
      </c>
      <c r="H32" s="12" t="n">
        <v>80</v>
      </c>
      <c r="I32" s="12" t="n">
        <f aca="false">INDEX('Tiendas por tramo'!$C$5:$C$10,MATCH(E32,'Tiendas por tramo'!$A$5:$A$10,0))</f>
        <v>8</v>
      </c>
      <c r="J32" s="13" t="n">
        <f aca="false">IFERROR(H32/I32,"")</f>
        <v>10</v>
      </c>
      <c r="K32" s="14" t="n">
        <f aca="false">IFERROR(J32/G32,"")</f>
        <v>1.42857142857143</v>
      </c>
      <c r="L32" s="11" t="str">
        <f aca="false">IF(K32&lt;1,"⚠ revisar stock","")</f>
        <v/>
      </c>
    </row>
    <row r="33" customFormat="false" ht="15" hidden="false" customHeight="true" outlineLevel="0" collapsed="false">
      <c r="A33" s="11" t="s">
        <v>148</v>
      </c>
      <c r="B33" s="11" t="s">
        <v>153</v>
      </c>
      <c r="C33" s="11" t="s">
        <v>154</v>
      </c>
      <c r="D33" s="11" t="s">
        <v>43</v>
      </c>
      <c r="E33" s="11" t="s">
        <v>28</v>
      </c>
      <c r="F33" s="11" t="s">
        <v>96</v>
      </c>
      <c r="G33" s="12" t="n">
        <v>7</v>
      </c>
      <c r="H33" s="12" t="n">
        <v>68</v>
      </c>
      <c r="I33" s="12" t="n">
        <f aca="false">INDEX('Tiendas por tramo'!$C$5:$C$10,MATCH(E33,'Tiendas por tramo'!$A$5:$A$10,0))</f>
        <v>8</v>
      </c>
      <c r="J33" s="13" t="n">
        <f aca="false">IFERROR(H33/I33,"")</f>
        <v>8.5</v>
      </c>
      <c r="K33" s="14" t="n">
        <f aca="false">IFERROR(J33/G33,"")</f>
        <v>1.21428571428571</v>
      </c>
      <c r="L33" s="11" t="str">
        <f aca="false">IF(K33&lt;1,"⚠ revisar stock","")</f>
        <v/>
      </c>
    </row>
    <row r="34" customFormat="false" ht="15" hidden="false" customHeight="true" outlineLevel="0" collapsed="false">
      <c r="A34" s="11" t="s">
        <v>148</v>
      </c>
      <c r="B34" s="11" t="s">
        <v>155</v>
      </c>
      <c r="C34" s="11" t="s">
        <v>156</v>
      </c>
      <c r="D34" s="11" t="s">
        <v>43</v>
      </c>
      <c r="E34" s="11" t="s">
        <v>28</v>
      </c>
      <c r="F34" s="11" t="s">
        <v>96</v>
      </c>
      <c r="G34" s="12" t="n">
        <v>7</v>
      </c>
      <c r="H34" s="12" t="n">
        <v>57</v>
      </c>
      <c r="I34" s="12" t="n">
        <f aca="false">INDEX('Tiendas por tramo'!$C$5:$C$10,MATCH(E34,'Tiendas por tramo'!$A$5:$A$10,0))</f>
        <v>8</v>
      </c>
      <c r="J34" s="13" t="n">
        <f aca="false">IFERROR(H34/I34,"")</f>
        <v>7.125</v>
      </c>
      <c r="K34" s="14" t="n">
        <f aca="false">IFERROR(J34/G34,"")</f>
        <v>1.01785714285714</v>
      </c>
      <c r="L34" s="11" t="str">
        <f aca="false">IF(K34&lt;1,"⚠ revisar stock","")</f>
        <v/>
      </c>
    </row>
    <row r="35" customFormat="false" ht="15" hidden="false" customHeight="true" outlineLevel="0" collapsed="false">
      <c r="A35" s="11" t="s">
        <v>148</v>
      </c>
      <c r="B35" s="11" t="s">
        <v>157</v>
      </c>
      <c r="C35" s="11" t="s">
        <v>158</v>
      </c>
      <c r="D35" s="11" t="s">
        <v>45</v>
      </c>
      <c r="E35" s="11" t="s">
        <v>30</v>
      </c>
      <c r="F35" s="11" t="s">
        <v>96</v>
      </c>
      <c r="G35" s="12" t="n">
        <v>7</v>
      </c>
      <c r="H35" s="12" t="n">
        <v>68</v>
      </c>
      <c r="I35" s="12" t="n">
        <f aca="false">INDEX('Tiendas por tramo'!$C$5:$C$10,MATCH(E35,'Tiendas por tramo'!$A$5:$A$10,0))</f>
        <v>7</v>
      </c>
      <c r="J35" s="13" t="n">
        <f aca="false">IFERROR(H35/I35,"")</f>
        <v>9.71428571428571</v>
      </c>
      <c r="K35" s="14" t="n">
        <f aca="false">IFERROR(J35/G35,"")</f>
        <v>1.38775510204082</v>
      </c>
      <c r="L35" s="11" t="str">
        <f aca="false">IF(K35&lt;1,"⚠ revisar stock","")</f>
        <v/>
      </c>
    </row>
    <row r="36" customFormat="false" ht="15" hidden="false" customHeight="true" outlineLevel="0" collapsed="false">
      <c r="A36" s="11" t="s">
        <v>148</v>
      </c>
      <c r="B36" s="11" t="s">
        <v>159</v>
      </c>
      <c r="C36" s="11" t="s">
        <v>160</v>
      </c>
      <c r="D36" s="11" t="s">
        <v>45</v>
      </c>
      <c r="E36" s="11" t="s">
        <v>32</v>
      </c>
      <c r="F36" s="11" t="s">
        <v>96</v>
      </c>
      <c r="G36" s="12" t="n">
        <v>7</v>
      </c>
      <c r="H36" s="12" t="n">
        <v>52</v>
      </c>
      <c r="I36" s="12" t="n">
        <f aca="false">INDEX('Tiendas por tramo'!$C$5:$C$10,MATCH(E36,'Tiendas por tramo'!$A$5:$A$10,0))</f>
        <v>12</v>
      </c>
      <c r="J36" s="13" t="n">
        <f aca="false">IFERROR(H36/I36,"")</f>
        <v>4.33333333333333</v>
      </c>
      <c r="K36" s="14" t="n">
        <f aca="false">IFERROR(J36/G36,"")</f>
        <v>0.619047619047619</v>
      </c>
      <c r="L36" s="11" t="str">
        <f aca="false">IF(K36&lt;1,"⚠ revisar stock","")</f>
        <v>⚠ revisar stock</v>
      </c>
    </row>
    <row r="37" customFormat="false" ht="15" hidden="false" customHeight="true" outlineLevel="0" collapsed="false">
      <c r="A37" s="11" t="s">
        <v>148</v>
      </c>
      <c r="B37" s="11" t="s">
        <v>161</v>
      </c>
      <c r="C37" s="11" t="s">
        <v>162</v>
      </c>
      <c r="D37" s="11" t="s">
        <v>47</v>
      </c>
      <c r="E37" s="11" t="s">
        <v>34</v>
      </c>
      <c r="F37" s="11" t="s">
        <v>96</v>
      </c>
      <c r="G37" s="12" t="n">
        <v>7</v>
      </c>
      <c r="H37" s="12" t="n">
        <v>27</v>
      </c>
      <c r="I37" s="12" t="n">
        <f aca="false">INDEX('Tiendas por tramo'!$C$5:$C$10,MATCH(E37,'Tiendas por tramo'!$A$5:$A$10,0))</f>
        <v>3</v>
      </c>
      <c r="J37" s="13" t="n">
        <f aca="false">IFERROR(H37/I37,"")</f>
        <v>9</v>
      </c>
      <c r="K37" s="14" t="n">
        <f aca="false">IFERROR(J37/G37,"")</f>
        <v>1.28571428571429</v>
      </c>
      <c r="L37" s="11" t="str">
        <f aca="false">IF(K37&lt;1,"⚠ revisar stock","")</f>
        <v/>
      </c>
    </row>
    <row r="38" customFormat="false" ht="15" hidden="false" customHeight="true" outlineLevel="0" collapsed="false">
      <c r="A38" s="11" t="s">
        <v>163</v>
      </c>
      <c r="B38" s="11" t="s">
        <v>164</v>
      </c>
      <c r="C38" s="11" t="s">
        <v>165</v>
      </c>
      <c r="D38" s="11" t="s">
        <v>45</v>
      </c>
      <c r="E38" s="11" t="s">
        <v>30</v>
      </c>
      <c r="F38" s="11" t="s">
        <v>99</v>
      </c>
      <c r="G38" s="12" t="n">
        <v>7</v>
      </c>
      <c r="H38" s="12" t="n">
        <v>30</v>
      </c>
      <c r="I38" s="12" t="n">
        <f aca="false">INDEX('Tiendas por tramo'!$C$5:$C$10,MATCH(E38,'Tiendas por tramo'!$A$5:$A$10,0))</f>
        <v>7</v>
      </c>
      <c r="J38" s="13" t="n">
        <f aca="false">IFERROR(H38/I38,"")</f>
        <v>4.28571428571429</v>
      </c>
      <c r="K38" s="14" t="n">
        <f aca="false">IFERROR(J38/G38,"")</f>
        <v>0.612244897959184</v>
      </c>
      <c r="L38" s="11" t="str">
        <f aca="false">IF(K38&lt;1,"⚠ revisar stock","")</f>
        <v>⚠ revisar stock</v>
      </c>
    </row>
    <row r="39" customFormat="false" ht="15" hidden="false" customHeight="true" outlineLevel="0" collapsed="false">
      <c r="A39" s="11" t="s">
        <v>166</v>
      </c>
      <c r="B39" s="11" t="s">
        <v>167</v>
      </c>
      <c r="C39" s="11" t="s">
        <v>168</v>
      </c>
      <c r="D39" s="11" t="s">
        <v>43</v>
      </c>
      <c r="E39" s="11" t="s">
        <v>28</v>
      </c>
      <c r="F39" s="11" t="s">
        <v>96</v>
      </c>
      <c r="G39" s="12" t="n">
        <v>7</v>
      </c>
      <c r="H39" s="12" t="n">
        <v>264</v>
      </c>
      <c r="I39" s="12" t="n">
        <f aca="false">INDEX('Tiendas por tramo'!$C$5:$C$10,MATCH(E39,'Tiendas por tramo'!$A$5:$A$10,0))</f>
        <v>8</v>
      </c>
      <c r="J39" s="13" t="n">
        <f aca="false">IFERROR(H39/I39,"")</f>
        <v>33</v>
      </c>
      <c r="K39" s="14" t="n">
        <f aca="false">IFERROR(J39/G39,"")</f>
        <v>4.71428571428571</v>
      </c>
      <c r="L39" s="11" t="str">
        <f aca="false">IF(K39&lt;1,"⚠ revisar stock","")</f>
        <v/>
      </c>
    </row>
    <row r="40" customFormat="false" ht="15" hidden="false" customHeight="true" outlineLevel="0" collapsed="false">
      <c r="A40" s="11" t="s">
        <v>166</v>
      </c>
      <c r="B40" s="11" t="s">
        <v>169</v>
      </c>
      <c r="C40" s="11" t="s">
        <v>170</v>
      </c>
      <c r="D40" s="11" t="s">
        <v>43</v>
      </c>
      <c r="E40" s="11" t="s">
        <v>28</v>
      </c>
      <c r="F40" s="11" t="s">
        <v>96</v>
      </c>
      <c r="G40" s="12" t="n">
        <v>7</v>
      </c>
      <c r="H40" s="12" t="n">
        <v>331</v>
      </c>
      <c r="I40" s="12" t="n">
        <f aca="false">INDEX('Tiendas por tramo'!$C$5:$C$10,MATCH(E40,'Tiendas por tramo'!$A$5:$A$10,0))</f>
        <v>8</v>
      </c>
      <c r="J40" s="13" t="n">
        <f aca="false">IFERROR(H40/I40,"")</f>
        <v>41.375</v>
      </c>
      <c r="K40" s="14" t="n">
        <f aca="false">IFERROR(J40/G40,"")</f>
        <v>5.91071428571429</v>
      </c>
      <c r="L40" s="11" t="str">
        <f aca="false">IF(K40&lt;1,"⚠ revisar stock","")</f>
        <v/>
      </c>
    </row>
    <row r="41" customFormat="false" ht="15" hidden="false" customHeight="true" outlineLevel="0" collapsed="false">
      <c r="A41" s="11" t="s">
        <v>166</v>
      </c>
      <c r="B41" s="11" t="s">
        <v>171</v>
      </c>
      <c r="C41" s="11" t="s">
        <v>172</v>
      </c>
      <c r="D41" s="11" t="s">
        <v>43</v>
      </c>
      <c r="E41" s="11" t="s">
        <v>28</v>
      </c>
      <c r="F41" s="11" t="s">
        <v>96</v>
      </c>
      <c r="G41" s="12" t="n">
        <v>7</v>
      </c>
      <c r="H41" s="12" t="n">
        <v>383</v>
      </c>
      <c r="I41" s="12" t="n">
        <f aca="false">INDEX('Tiendas por tramo'!$C$5:$C$10,MATCH(E41,'Tiendas por tramo'!$A$5:$A$10,0))</f>
        <v>8</v>
      </c>
      <c r="J41" s="13" t="n">
        <f aca="false">IFERROR(H41/I41,"")</f>
        <v>47.875</v>
      </c>
      <c r="K41" s="14" t="n">
        <f aca="false">IFERROR(J41/G41,"")</f>
        <v>6.83928571428571</v>
      </c>
      <c r="L41" s="11" t="str">
        <f aca="false">IF(K41&lt;1,"⚠ revisar stock","")</f>
        <v/>
      </c>
    </row>
    <row r="42" customFormat="false" ht="15" hidden="false" customHeight="true" outlineLevel="0" collapsed="false">
      <c r="A42" s="11" t="s">
        <v>166</v>
      </c>
      <c r="B42" s="11" t="s">
        <v>173</v>
      </c>
      <c r="C42" s="11" t="s">
        <v>174</v>
      </c>
      <c r="D42" s="11" t="s">
        <v>43</v>
      </c>
      <c r="E42" s="11" t="s">
        <v>28</v>
      </c>
      <c r="F42" s="11" t="s">
        <v>96</v>
      </c>
      <c r="G42" s="12" t="n">
        <v>7</v>
      </c>
      <c r="H42" s="12" t="n">
        <v>348</v>
      </c>
      <c r="I42" s="12" t="n">
        <f aca="false">INDEX('Tiendas por tramo'!$C$5:$C$10,MATCH(E42,'Tiendas por tramo'!$A$5:$A$10,0))</f>
        <v>8</v>
      </c>
      <c r="J42" s="13" t="n">
        <f aca="false">IFERROR(H42/I42,"")</f>
        <v>43.5</v>
      </c>
      <c r="K42" s="14" t="n">
        <f aca="false">IFERROR(J42/G42,"")</f>
        <v>6.21428571428571</v>
      </c>
      <c r="L42" s="11" t="str">
        <f aca="false">IF(K42&lt;1,"⚠ revisar stock","")</f>
        <v/>
      </c>
    </row>
    <row r="43" customFormat="false" ht="15" hidden="false" customHeight="true" outlineLevel="0" collapsed="false">
      <c r="A43" s="11" t="s">
        <v>175</v>
      </c>
      <c r="B43" s="11" t="s">
        <v>176</v>
      </c>
      <c r="C43" s="11" t="s">
        <v>177</v>
      </c>
      <c r="D43" s="11" t="s">
        <v>43</v>
      </c>
      <c r="E43" s="11" t="s">
        <v>26</v>
      </c>
      <c r="F43" s="11" t="s">
        <v>99</v>
      </c>
      <c r="G43" s="12" t="n">
        <v>7</v>
      </c>
      <c r="H43" s="12" t="n">
        <v>35</v>
      </c>
      <c r="I43" s="12" t="n">
        <f aca="false">INDEX('Tiendas por tramo'!$C$5:$C$10,MATCH(E43,'Tiendas por tramo'!$A$5:$A$10,0))</f>
        <v>4</v>
      </c>
      <c r="J43" s="13" t="n">
        <f aca="false">IFERROR(H43/I43,"")</f>
        <v>8.75</v>
      </c>
      <c r="K43" s="14" t="n">
        <f aca="false">IFERROR(J43/G43,"")</f>
        <v>1.25</v>
      </c>
      <c r="L43" s="11" t="str">
        <f aca="false">IF(K43&lt;1,"⚠ revisar stock","")</f>
        <v/>
      </c>
    </row>
    <row r="44" customFormat="false" ht="15" hidden="false" customHeight="true" outlineLevel="0" collapsed="false">
      <c r="A44" s="11" t="s">
        <v>175</v>
      </c>
      <c r="B44" s="11" t="s">
        <v>178</v>
      </c>
      <c r="C44" s="11" t="s">
        <v>179</v>
      </c>
      <c r="D44" s="11" t="s">
        <v>43</v>
      </c>
      <c r="E44" s="11" t="s">
        <v>28</v>
      </c>
      <c r="F44" s="11" t="s">
        <v>96</v>
      </c>
      <c r="G44" s="12" t="n">
        <v>7</v>
      </c>
      <c r="H44" s="12" t="n">
        <v>39</v>
      </c>
      <c r="I44" s="12" t="n">
        <f aca="false">INDEX('Tiendas por tramo'!$C$5:$C$10,MATCH(E44,'Tiendas por tramo'!$A$5:$A$10,0))</f>
        <v>8</v>
      </c>
      <c r="J44" s="13" t="n">
        <f aca="false">IFERROR(H44/I44,"")</f>
        <v>4.875</v>
      </c>
      <c r="K44" s="14" t="n">
        <f aca="false">IFERROR(J44/G44,"")</f>
        <v>0.696428571428571</v>
      </c>
      <c r="L44" s="11" t="str">
        <f aca="false">IF(K44&lt;1,"⚠ revisar stock","")</f>
        <v>⚠ revisar stock</v>
      </c>
    </row>
    <row r="45" customFormat="false" ht="15" hidden="false" customHeight="true" outlineLevel="0" collapsed="false">
      <c r="A45" s="11" t="s">
        <v>175</v>
      </c>
      <c r="B45" s="11" t="s">
        <v>180</v>
      </c>
      <c r="C45" s="11" t="s">
        <v>181</v>
      </c>
      <c r="D45" s="11" t="s">
        <v>43</v>
      </c>
      <c r="E45" s="11" t="s">
        <v>28</v>
      </c>
      <c r="F45" s="11" t="s">
        <v>96</v>
      </c>
      <c r="G45" s="12" t="n">
        <v>7</v>
      </c>
      <c r="H45" s="12" t="n">
        <v>40</v>
      </c>
      <c r="I45" s="12" t="n">
        <f aca="false">INDEX('Tiendas por tramo'!$C$5:$C$10,MATCH(E45,'Tiendas por tramo'!$A$5:$A$10,0))</f>
        <v>8</v>
      </c>
      <c r="J45" s="13" t="n">
        <f aca="false">IFERROR(H45/I45,"")</f>
        <v>5</v>
      </c>
      <c r="K45" s="14" t="n">
        <f aca="false">IFERROR(J45/G45,"")</f>
        <v>0.714285714285714</v>
      </c>
      <c r="L45" s="11" t="str">
        <f aca="false">IF(K45&lt;1,"⚠ revisar stock","")</f>
        <v>⚠ revisar stock</v>
      </c>
    </row>
    <row r="46" customFormat="false" ht="15" hidden="false" customHeight="true" outlineLevel="0" collapsed="false">
      <c r="A46" s="11" t="s">
        <v>175</v>
      </c>
      <c r="B46" s="11" t="s">
        <v>182</v>
      </c>
      <c r="C46" s="11" t="s">
        <v>183</v>
      </c>
      <c r="D46" s="11" t="s">
        <v>43</v>
      </c>
      <c r="E46" s="11" t="s">
        <v>28</v>
      </c>
      <c r="F46" s="11" t="s">
        <v>96</v>
      </c>
      <c r="G46" s="12" t="n">
        <v>7</v>
      </c>
      <c r="H46" s="12" t="n">
        <v>111</v>
      </c>
      <c r="I46" s="12" t="n">
        <f aca="false">INDEX('Tiendas por tramo'!$C$5:$C$10,MATCH(E46,'Tiendas por tramo'!$A$5:$A$10,0))</f>
        <v>8</v>
      </c>
      <c r="J46" s="13" t="n">
        <f aca="false">IFERROR(H46/I46,"")</f>
        <v>13.875</v>
      </c>
      <c r="K46" s="14" t="n">
        <f aca="false">IFERROR(J46/G46,"")</f>
        <v>1.98214285714286</v>
      </c>
      <c r="L46" s="11" t="str">
        <f aca="false">IF(K46&lt;1,"⚠ revisar stock","")</f>
        <v/>
      </c>
    </row>
    <row r="47" customFormat="false" ht="15" hidden="false" customHeight="true" outlineLevel="0" collapsed="false">
      <c r="A47" s="11" t="s">
        <v>175</v>
      </c>
      <c r="B47" s="11" t="s">
        <v>184</v>
      </c>
      <c r="C47" s="11" t="s">
        <v>185</v>
      </c>
      <c r="D47" s="11" t="s">
        <v>43</v>
      </c>
      <c r="E47" s="11" t="s">
        <v>28</v>
      </c>
      <c r="F47" s="11" t="s">
        <v>96</v>
      </c>
      <c r="G47" s="12" t="n">
        <v>7</v>
      </c>
      <c r="H47" s="12" t="n">
        <v>127</v>
      </c>
      <c r="I47" s="12" t="n">
        <f aca="false">INDEX('Tiendas por tramo'!$C$5:$C$10,MATCH(E47,'Tiendas por tramo'!$A$5:$A$10,0))</f>
        <v>8</v>
      </c>
      <c r="J47" s="13" t="n">
        <f aca="false">IFERROR(H47/I47,"")</f>
        <v>15.875</v>
      </c>
      <c r="K47" s="14" t="n">
        <f aca="false">IFERROR(J47/G47,"")</f>
        <v>2.26785714285714</v>
      </c>
      <c r="L47" s="11" t="str">
        <f aca="false">IF(K47&lt;1,"⚠ revisar stock","")</f>
        <v/>
      </c>
    </row>
    <row r="48" customFormat="false" ht="15" hidden="false" customHeight="true" outlineLevel="0" collapsed="false">
      <c r="A48" s="11" t="s">
        <v>175</v>
      </c>
      <c r="B48" s="11" t="s">
        <v>186</v>
      </c>
      <c r="C48" s="11" t="s">
        <v>187</v>
      </c>
      <c r="D48" s="11" t="s">
        <v>45</v>
      </c>
      <c r="E48" s="11" t="s">
        <v>30</v>
      </c>
      <c r="F48" s="11" t="s">
        <v>96</v>
      </c>
      <c r="G48" s="12" t="n">
        <v>7</v>
      </c>
      <c r="H48" s="12" t="n">
        <v>66</v>
      </c>
      <c r="I48" s="12" t="n">
        <f aca="false">INDEX('Tiendas por tramo'!$C$5:$C$10,MATCH(E48,'Tiendas por tramo'!$A$5:$A$10,0))</f>
        <v>7</v>
      </c>
      <c r="J48" s="13" t="n">
        <f aca="false">IFERROR(H48/I48,"")</f>
        <v>9.42857142857143</v>
      </c>
      <c r="K48" s="14" t="n">
        <f aca="false">IFERROR(J48/G48,"")</f>
        <v>1.3469387755102</v>
      </c>
      <c r="L48" s="11" t="str">
        <f aca="false">IF(K48&lt;1,"⚠ revisar stock","")</f>
        <v/>
      </c>
    </row>
    <row r="49" customFormat="false" ht="15" hidden="false" customHeight="true" outlineLevel="0" collapsed="false">
      <c r="A49" s="11" t="s">
        <v>175</v>
      </c>
      <c r="B49" s="11" t="s">
        <v>188</v>
      </c>
      <c r="C49" s="11" t="s">
        <v>189</v>
      </c>
      <c r="D49" s="11" t="s">
        <v>45</v>
      </c>
      <c r="E49" s="11" t="s">
        <v>32</v>
      </c>
      <c r="F49" s="11" t="s">
        <v>96</v>
      </c>
      <c r="G49" s="12" t="n">
        <v>7</v>
      </c>
      <c r="H49" s="12" t="n">
        <v>64</v>
      </c>
      <c r="I49" s="12" t="n">
        <f aca="false">INDEX('Tiendas por tramo'!$C$5:$C$10,MATCH(E49,'Tiendas por tramo'!$A$5:$A$10,0))</f>
        <v>12</v>
      </c>
      <c r="J49" s="13" t="n">
        <f aca="false">IFERROR(H49/I49,"")</f>
        <v>5.33333333333333</v>
      </c>
      <c r="K49" s="14" t="n">
        <f aca="false">IFERROR(J49/G49,"")</f>
        <v>0.761904761904762</v>
      </c>
      <c r="L49" s="11" t="str">
        <f aca="false">IF(K49&lt;1,"⚠ revisar stock","")</f>
        <v>⚠ revisar stock</v>
      </c>
    </row>
    <row r="50" customFormat="false" ht="15" hidden="false" customHeight="true" outlineLevel="0" collapsed="false">
      <c r="A50" s="11" t="s">
        <v>190</v>
      </c>
      <c r="B50" s="11" t="s">
        <v>191</v>
      </c>
      <c r="C50" s="11" t="s">
        <v>192</v>
      </c>
      <c r="D50" s="11" t="s">
        <v>45</v>
      </c>
      <c r="E50" s="11" t="s">
        <v>32</v>
      </c>
      <c r="F50" s="11" t="s">
        <v>96</v>
      </c>
      <c r="G50" s="12" t="n">
        <v>8</v>
      </c>
      <c r="H50" s="12" t="n">
        <v>52</v>
      </c>
      <c r="I50" s="12" t="n">
        <f aca="false">INDEX('Tiendas por tramo'!$C$5:$C$10,MATCH(E50,'Tiendas por tramo'!$A$5:$A$10,0))</f>
        <v>12</v>
      </c>
      <c r="J50" s="13" t="n">
        <f aca="false">IFERROR(H50/I50,"")</f>
        <v>4.33333333333333</v>
      </c>
      <c r="K50" s="14" t="n">
        <f aca="false">IFERROR(J50/G50,"")</f>
        <v>0.541666666666667</v>
      </c>
      <c r="L50" s="11" t="str">
        <f aca="false">IF(K50&lt;1,"⚠ revisar stock","")</f>
        <v>⚠ revisar stock</v>
      </c>
    </row>
    <row r="51" customFormat="false" ht="15" hidden="false" customHeight="true" outlineLevel="0" collapsed="false">
      <c r="A51" s="11" t="s">
        <v>193</v>
      </c>
      <c r="B51" s="11" t="s">
        <v>194</v>
      </c>
      <c r="C51" s="11" t="s">
        <v>195</v>
      </c>
      <c r="D51" s="11" t="s">
        <v>47</v>
      </c>
      <c r="E51" s="11" t="s">
        <v>36</v>
      </c>
      <c r="F51" s="11" t="s">
        <v>96</v>
      </c>
      <c r="G51" s="12" t="n">
        <v>6</v>
      </c>
      <c r="H51" s="12" t="n">
        <v>40</v>
      </c>
      <c r="I51" s="12" t="n">
        <f aca="false">INDEX('Tiendas por tramo'!$C$5:$C$10,MATCH(E51,'Tiendas por tramo'!$A$5:$A$10,0))</f>
        <v>15</v>
      </c>
      <c r="J51" s="13" t="n">
        <f aca="false">IFERROR(H51/I51,"")</f>
        <v>2.66666666666667</v>
      </c>
      <c r="K51" s="14" t="n">
        <f aca="false">IFERROR(J51/G51,"")</f>
        <v>0.444444444444444</v>
      </c>
      <c r="L51" s="11" t="str">
        <f aca="false">IF(K51&lt;1,"⚠ revisar stock","")</f>
        <v>⚠ revisar stock</v>
      </c>
    </row>
    <row r="52" customFormat="false" ht="15" hidden="false" customHeight="true" outlineLevel="0" collapsed="false">
      <c r="A52" s="11" t="s">
        <v>196</v>
      </c>
      <c r="B52" s="11" t="s">
        <v>197</v>
      </c>
      <c r="C52" s="11" t="s">
        <v>198</v>
      </c>
      <c r="D52" s="11" t="s">
        <v>43</v>
      </c>
      <c r="E52" s="11" t="s">
        <v>26</v>
      </c>
      <c r="F52" s="11" t="s">
        <v>99</v>
      </c>
      <c r="G52" s="12" t="n">
        <v>7</v>
      </c>
      <c r="H52" s="12" t="n">
        <v>41</v>
      </c>
      <c r="I52" s="12" t="n">
        <f aca="false">INDEX('Tiendas por tramo'!$C$5:$C$10,MATCH(E52,'Tiendas por tramo'!$A$5:$A$10,0))</f>
        <v>4</v>
      </c>
      <c r="J52" s="13" t="n">
        <f aca="false">IFERROR(H52/I52,"")</f>
        <v>10.25</v>
      </c>
      <c r="K52" s="14" t="n">
        <f aca="false">IFERROR(J52/G52,"")</f>
        <v>1.46428571428571</v>
      </c>
      <c r="L52" s="11" t="str">
        <f aca="false">IF(K52&lt;1,"⚠ revisar stock","")</f>
        <v/>
      </c>
    </row>
    <row r="53" customFormat="false" ht="15" hidden="false" customHeight="true" outlineLevel="0" collapsed="false">
      <c r="A53" s="11" t="s">
        <v>196</v>
      </c>
      <c r="B53" s="11" t="s">
        <v>199</v>
      </c>
      <c r="C53" s="11" t="s">
        <v>200</v>
      </c>
      <c r="D53" s="11" t="s">
        <v>43</v>
      </c>
      <c r="E53" s="11" t="s">
        <v>26</v>
      </c>
      <c r="F53" s="11" t="s">
        <v>99</v>
      </c>
      <c r="G53" s="12" t="n">
        <v>7</v>
      </c>
      <c r="H53" s="12" t="n">
        <v>41</v>
      </c>
      <c r="I53" s="12" t="n">
        <f aca="false">INDEX('Tiendas por tramo'!$C$5:$C$10,MATCH(E53,'Tiendas por tramo'!$A$5:$A$10,0))</f>
        <v>4</v>
      </c>
      <c r="J53" s="13" t="n">
        <f aca="false">IFERROR(H53/I53,"")</f>
        <v>10.25</v>
      </c>
      <c r="K53" s="14" t="n">
        <f aca="false">IFERROR(J53/G53,"")</f>
        <v>1.46428571428571</v>
      </c>
      <c r="L53" s="11" t="str">
        <f aca="false">IF(K53&lt;1,"⚠ revisar stock","")</f>
        <v/>
      </c>
    </row>
    <row r="54" customFormat="false" ht="15" hidden="false" customHeight="true" outlineLevel="0" collapsed="false">
      <c r="A54" s="11" t="s">
        <v>196</v>
      </c>
      <c r="B54" s="11" t="s">
        <v>201</v>
      </c>
      <c r="C54" s="11" t="s">
        <v>202</v>
      </c>
      <c r="D54" s="11" t="s">
        <v>43</v>
      </c>
      <c r="E54" s="11" t="s">
        <v>26</v>
      </c>
      <c r="F54" s="11" t="s">
        <v>99</v>
      </c>
      <c r="G54" s="12" t="n">
        <v>7</v>
      </c>
      <c r="H54" s="12" t="n">
        <v>56</v>
      </c>
      <c r="I54" s="12" t="n">
        <f aca="false">INDEX('Tiendas por tramo'!$C$5:$C$10,MATCH(E54,'Tiendas por tramo'!$A$5:$A$10,0))</f>
        <v>4</v>
      </c>
      <c r="J54" s="13" t="n">
        <f aca="false">IFERROR(H54/I54,"")</f>
        <v>14</v>
      </c>
      <c r="K54" s="14" t="n">
        <f aca="false">IFERROR(J54/G54,"")</f>
        <v>2</v>
      </c>
      <c r="L54" s="11" t="str">
        <f aca="false">IF(K54&lt;1,"⚠ revisar stock","")</f>
        <v/>
      </c>
    </row>
    <row r="55" customFormat="false" ht="15" hidden="false" customHeight="true" outlineLevel="0" collapsed="false">
      <c r="A55" s="11" t="s">
        <v>196</v>
      </c>
      <c r="B55" s="11" t="s">
        <v>203</v>
      </c>
      <c r="C55" s="11" t="s">
        <v>204</v>
      </c>
      <c r="D55" s="11" t="s">
        <v>43</v>
      </c>
      <c r="E55" s="11" t="s">
        <v>26</v>
      </c>
      <c r="F55" s="11" t="s">
        <v>99</v>
      </c>
      <c r="G55" s="12" t="n">
        <v>7</v>
      </c>
      <c r="H55" s="12" t="n">
        <v>37</v>
      </c>
      <c r="I55" s="12" t="n">
        <f aca="false">INDEX('Tiendas por tramo'!$C$5:$C$10,MATCH(E55,'Tiendas por tramo'!$A$5:$A$10,0))</f>
        <v>4</v>
      </c>
      <c r="J55" s="13" t="n">
        <f aca="false">IFERROR(H55/I55,"")</f>
        <v>9.25</v>
      </c>
      <c r="K55" s="14" t="n">
        <f aca="false">IFERROR(J55/G55,"")</f>
        <v>1.32142857142857</v>
      </c>
      <c r="L55" s="11" t="str">
        <f aca="false">IF(K55&lt;1,"⚠ revisar stock","")</f>
        <v/>
      </c>
    </row>
    <row r="56" customFormat="false" ht="15" hidden="false" customHeight="true" outlineLevel="0" collapsed="false">
      <c r="A56" s="11" t="s">
        <v>196</v>
      </c>
      <c r="B56" s="11" t="s">
        <v>205</v>
      </c>
      <c r="C56" s="11" t="s">
        <v>206</v>
      </c>
      <c r="D56" s="11" t="s">
        <v>43</v>
      </c>
      <c r="E56" s="11" t="s">
        <v>26</v>
      </c>
      <c r="F56" s="11" t="s">
        <v>99</v>
      </c>
      <c r="G56" s="12" t="n">
        <v>7</v>
      </c>
      <c r="H56" s="12" t="n">
        <v>43</v>
      </c>
      <c r="I56" s="12" t="n">
        <f aca="false">INDEX('Tiendas por tramo'!$C$5:$C$10,MATCH(E56,'Tiendas por tramo'!$A$5:$A$10,0))</f>
        <v>4</v>
      </c>
      <c r="J56" s="13" t="n">
        <f aca="false">IFERROR(H56/I56,"")</f>
        <v>10.75</v>
      </c>
      <c r="K56" s="14" t="n">
        <f aca="false">IFERROR(J56/G56,"")</f>
        <v>1.53571428571429</v>
      </c>
      <c r="L56" s="11" t="str">
        <f aca="false">IF(K56&lt;1,"⚠ revisar stock","")</f>
        <v/>
      </c>
    </row>
    <row r="57" customFormat="false" ht="15" hidden="false" customHeight="true" outlineLevel="0" collapsed="false">
      <c r="A57" s="11" t="s">
        <v>196</v>
      </c>
      <c r="B57" s="11" t="s">
        <v>207</v>
      </c>
      <c r="C57" s="11" t="s">
        <v>208</v>
      </c>
      <c r="D57" s="11" t="s">
        <v>43</v>
      </c>
      <c r="E57" s="11" t="s">
        <v>26</v>
      </c>
      <c r="F57" s="11" t="s">
        <v>99</v>
      </c>
      <c r="G57" s="12" t="n">
        <v>7</v>
      </c>
      <c r="H57" s="12" t="n">
        <v>26</v>
      </c>
      <c r="I57" s="12" t="n">
        <f aca="false">INDEX('Tiendas por tramo'!$C$5:$C$10,MATCH(E57,'Tiendas por tramo'!$A$5:$A$10,0))</f>
        <v>4</v>
      </c>
      <c r="J57" s="13" t="n">
        <f aca="false">IFERROR(H57/I57,"")</f>
        <v>6.5</v>
      </c>
      <c r="K57" s="14" t="n">
        <f aca="false">IFERROR(J57/G57,"")</f>
        <v>0.928571428571429</v>
      </c>
      <c r="L57" s="11" t="str">
        <f aca="false">IF(K57&lt;1,"⚠ revisar stock","")</f>
        <v>⚠ revisar stock</v>
      </c>
    </row>
    <row r="58" customFormat="false" ht="15" hidden="false" customHeight="true" outlineLevel="0" collapsed="false">
      <c r="A58" s="11" t="s">
        <v>196</v>
      </c>
      <c r="B58" s="11" t="s">
        <v>209</v>
      </c>
      <c r="C58" s="11" t="s">
        <v>210</v>
      </c>
      <c r="D58" s="11" t="s">
        <v>43</v>
      </c>
      <c r="E58" s="11" t="s">
        <v>26</v>
      </c>
      <c r="F58" s="11" t="s">
        <v>99</v>
      </c>
      <c r="G58" s="12" t="n">
        <v>7</v>
      </c>
      <c r="H58" s="12" t="n">
        <v>49</v>
      </c>
      <c r="I58" s="12" t="n">
        <f aca="false">INDEX('Tiendas por tramo'!$C$5:$C$10,MATCH(E58,'Tiendas por tramo'!$A$5:$A$10,0))</f>
        <v>4</v>
      </c>
      <c r="J58" s="13" t="n">
        <f aca="false">IFERROR(H58/I58,"")</f>
        <v>12.25</v>
      </c>
      <c r="K58" s="14" t="n">
        <f aca="false">IFERROR(J58/G58,"")</f>
        <v>1.75</v>
      </c>
      <c r="L58" s="11" t="str">
        <f aca="false">IF(K58&lt;1,"⚠ revisar stock","")</f>
        <v/>
      </c>
    </row>
    <row r="59" customFormat="false" ht="15" hidden="false" customHeight="true" outlineLevel="0" collapsed="false">
      <c r="A59" s="11" t="s">
        <v>196</v>
      </c>
      <c r="B59" s="11" t="s">
        <v>211</v>
      </c>
      <c r="C59" s="11" t="s">
        <v>212</v>
      </c>
      <c r="D59" s="11" t="s">
        <v>43</v>
      </c>
      <c r="E59" s="11" t="s">
        <v>26</v>
      </c>
      <c r="F59" s="11" t="s">
        <v>99</v>
      </c>
      <c r="G59" s="12" t="n">
        <v>7</v>
      </c>
      <c r="H59" s="12" t="n">
        <v>30</v>
      </c>
      <c r="I59" s="12" t="n">
        <f aca="false">INDEX('Tiendas por tramo'!$C$5:$C$10,MATCH(E59,'Tiendas por tramo'!$A$5:$A$10,0))</f>
        <v>4</v>
      </c>
      <c r="J59" s="13" t="n">
        <f aca="false">IFERROR(H59/I59,"")</f>
        <v>7.5</v>
      </c>
      <c r="K59" s="14" t="n">
        <f aca="false">IFERROR(J59/G59,"")</f>
        <v>1.07142857142857</v>
      </c>
      <c r="L59" s="11" t="str">
        <f aca="false">IF(K59&lt;1,"⚠ revisar stock","")</f>
        <v/>
      </c>
    </row>
    <row r="60" customFormat="false" ht="15" hidden="false" customHeight="true" outlineLevel="0" collapsed="false">
      <c r="A60" s="11" t="s">
        <v>196</v>
      </c>
      <c r="B60" s="11" t="s">
        <v>213</v>
      </c>
      <c r="C60" s="11" t="s">
        <v>214</v>
      </c>
      <c r="D60" s="11" t="s">
        <v>43</v>
      </c>
      <c r="E60" s="11" t="s">
        <v>26</v>
      </c>
      <c r="F60" s="11" t="s">
        <v>99</v>
      </c>
      <c r="G60" s="12" t="n">
        <v>7</v>
      </c>
      <c r="H60" s="12" t="n">
        <v>41</v>
      </c>
      <c r="I60" s="12" t="n">
        <f aca="false">INDEX('Tiendas por tramo'!$C$5:$C$10,MATCH(E60,'Tiendas por tramo'!$A$5:$A$10,0))</f>
        <v>4</v>
      </c>
      <c r="J60" s="13" t="n">
        <f aca="false">IFERROR(H60/I60,"")</f>
        <v>10.25</v>
      </c>
      <c r="K60" s="14" t="n">
        <f aca="false">IFERROR(J60/G60,"")</f>
        <v>1.46428571428571</v>
      </c>
      <c r="L60" s="11" t="str">
        <f aca="false">IF(K60&lt;1,"⚠ revisar stock","")</f>
        <v/>
      </c>
    </row>
    <row r="61" customFormat="false" ht="15" hidden="false" customHeight="true" outlineLevel="0" collapsed="false">
      <c r="A61" s="11" t="s">
        <v>196</v>
      </c>
      <c r="B61" s="11" t="s">
        <v>215</v>
      </c>
      <c r="C61" s="11" t="s">
        <v>216</v>
      </c>
      <c r="D61" s="11" t="s">
        <v>43</v>
      </c>
      <c r="E61" s="11" t="s">
        <v>26</v>
      </c>
      <c r="F61" s="11" t="s">
        <v>99</v>
      </c>
      <c r="G61" s="12" t="n">
        <v>7</v>
      </c>
      <c r="H61" s="12" t="n">
        <v>38</v>
      </c>
      <c r="I61" s="12" t="n">
        <f aca="false">INDEX('Tiendas por tramo'!$C$5:$C$10,MATCH(E61,'Tiendas por tramo'!$A$5:$A$10,0))</f>
        <v>4</v>
      </c>
      <c r="J61" s="13" t="n">
        <f aca="false">IFERROR(H61/I61,"")</f>
        <v>9.5</v>
      </c>
      <c r="K61" s="14" t="n">
        <f aca="false">IFERROR(J61/G61,"")</f>
        <v>1.35714285714286</v>
      </c>
      <c r="L61" s="11" t="str">
        <f aca="false">IF(K61&lt;1,"⚠ revisar stock","")</f>
        <v/>
      </c>
    </row>
    <row r="62" customFormat="false" ht="15" hidden="false" customHeight="true" outlineLevel="0" collapsed="false">
      <c r="A62" s="11" t="s">
        <v>196</v>
      </c>
      <c r="B62" s="11" t="s">
        <v>217</v>
      </c>
      <c r="C62" s="11" t="s">
        <v>218</v>
      </c>
      <c r="D62" s="11" t="s">
        <v>43</v>
      </c>
      <c r="E62" s="11" t="s">
        <v>26</v>
      </c>
      <c r="F62" s="11" t="s">
        <v>99</v>
      </c>
      <c r="G62" s="12" t="n">
        <v>7</v>
      </c>
      <c r="H62" s="12" t="n">
        <v>47</v>
      </c>
      <c r="I62" s="12" t="n">
        <f aca="false">INDEX('Tiendas por tramo'!$C$5:$C$10,MATCH(E62,'Tiendas por tramo'!$A$5:$A$10,0))</f>
        <v>4</v>
      </c>
      <c r="J62" s="13" t="n">
        <f aca="false">IFERROR(H62/I62,"")</f>
        <v>11.75</v>
      </c>
      <c r="K62" s="14" t="n">
        <f aca="false">IFERROR(J62/G62,"")</f>
        <v>1.67857142857143</v>
      </c>
      <c r="L62" s="11" t="str">
        <f aca="false">IF(K62&lt;1,"⚠ revisar stock","")</f>
        <v/>
      </c>
    </row>
    <row r="63" customFormat="false" ht="15" hidden="false" customHeight="true" outlineLevel="0" collapsed="false">
      <c r="A63" s="11" t="s">
        <v>196</v>
      </c>
      <c r="B63" s="11" t="s">
        <v>219</v>
      </c>
      <c r="C63" s="11" t="s">
        <v>220</v>
      </c>
      <c r="D63" s="11" t="s">
        <v>43</v>
      </c>
      <c r="E63" s="11" t="s">
        <v>28</v>
      </c>
      <c r="F63" s="11" t="s">
        <v>99</v>
      </c>
      <c r="G63" s="12" t="n">
        <v>7</v>
      </c>
      <c r="H63" s="12" t="n">
        <v>55</v>
      </c>
      <c r="I63" s="12" t="n">
        <f aca="false">INDEX('Tiendas por tramo'!$C$5:$C$10,MATCH(E63,'Tiendas por tramo'!$A$5:$A$10,0))</f>
        <v>8</v>
      </c>
      <c r="J63" s="13" t="n">
        <f aca="false">IFERROR(H63/I63,"")</f>
        <v>6.875</v>
      </c>
      <c r="K63" s="14" t="n">
        <f aca="false">IFERROR(J63/G63,"")</f>
        <v>0.982142857142857</v>
      </c>
      <c r="L63" s="11" t="str">
        <f aca="false">IF(K63&lt;1,"⚠ revisar stock","")</f>
        <v>⚠ revisar stock</v>
      </c>
    </row>
    <row r="64" customFormat="false" ht="15" hidden="false" customHeight="true" outlineLevel="0" collapsed="false">
      <c r="A64" s="11" t="s">
        <v>196</v>
      </c>
      <c r="B64" s="11" t="s">
        <v>221</v>
      </c>
      <c r="C64" s="11" t="s">
        <v>222</v>
      </c>
      <c r="D64" s="11" t="s">
        <v>43</v>
      </c>
      <c r="E64" s="11" t="s">
        <v>28</v>
      </c>
      <c r="F64" s="11" t="s">
        <v>99</v>
      </c>
      <c r="G64" s="12" t="n">
        <v>7</v>
      </c>
      <c r="H64" s="12" t="n">
        <v>78</v>
      </c>
      <c r="I64" s="12" t="n">
        <f aca="false">INDEX('Tiendas por tramo'!$C$5:$C$10,MATCH(E64,'Tiendas por tramo'!$A$5:$A$10,0))</f>
        <v>8</v>
      </c>
      <c r="J64" s="13" t="n">
        <f aca="false">IFERROR(H64/I64,"")</f>
        <v>9.75</v>
      </c>
      <c r="K64" s="14" t="n">
        <f aca="false">IFERROR(J64/G64,"")</f>
        <v>1.39285714285714</v>
      </c>
      <c r="L64" s="11" t="str">
        <f aca="false">IF(K64&lt;1,"⚠ revisar stock","")</f>
        <v/>
      </c>
    </row>
    <row r="65" customFormat="false" ht="15" hidden="false" customHeight="true" outlineLevel="0" collapsed="false">
      <c r="A65" s="11" t="s">
        <v>196</v>
      </c>
      <c r="B65" s="11" t="s">
        <v>223</v>
      </c>
      <c r="C65" s="11" t="s">
        <v>224</v>
      </c>
      <c r="D65" s="11" t="s">
        <v>43</v>
      </c>
      <c r="E65" s="11" t="s">
        <v>28</v>
      </c>
      <c r="F65" s="11" t="s">
        <v>99</v>
      </c>
      <c r="G65" s="12" t="n">
        <v>7</v>
      </c>
      <c r="H65" s="12" t="n">
        <v>58</v>
      </c>
      <c r="I65" s="12" t="n">
        <f aca="false">INDEX('Tiendas por tramo'!$C$5:$C$10,MATCH(E65,'Tiendas por tramo'!$A$5:$A$10,0))</f>
        <v>8</v>
      </c>
      <c r="J65" s="13" t="n">
        <f aca="false">IFERROR(H65/I65,"")</f>
        <v>7.25</v>
      </c>
      <c r="K65" s="14" t="n">
        <f aca="false">IFERROR(J65/G65,"")</f>
        <v>1.03571428571429</v>
      </c>
      <c r="L65" s="11" t="str">
        <f aca="false">IF(K65&lt;1,"⚠ revisar stock","")</f>
        <v/>
      </c>
    </row>
    <row r="66" customFormat="false" ht="15" hidden="false" customHeight="true" outlineLevel="0" collapsed="false">
      <c r="A66" s="11" t="s">
        <v>196</v>
      </c>
      <c r="B66" s="11" t="s">
        <v>225</v>
      </c>
      <c r="C66" s="11" t="s">
        <v>226</v>
      </c>
      <c r="D66" s="11" t="s">
        <v>43</v>
      </c>
      <c r="E66" s="11" t="s">
        <v>28</v>
      </c>
      <c r="F66" s="11" t="s">
        <v>99</v>
      </c>
      <c r="G66" s="12" t="n">
        <v>7</v>
      </c>
      <c r="H66" s="12" t="n">
        <v>49</v>
      </c>
      <c r="I66" s="12" t="n">
        <f aca="false">INDEX('Tiendas por tramo'!$C$5:$C$10,MATCH(E66,'Tiendas por tramo'!$A$5:$A$10,0))</f>
        <v>8</v>
      </c>
      <c r="J66" s="13" t="n">
        <f aca="false">IFERROR(H66/I66,"")</f>
        <v>6.125</v>
      </c>
      <c r="K66" s="14" t="n">
        <f aca="false">IFERROR(J66/G66,"")</f>
        <v>0.875</v>
      </c>
      <c r="L66" s="11" t="str">
        <f aca="false">IF(K66&lt;1,"⚠ revisar stock","")</f>
        <v>⚠ revisar stock</v>
      </c>
    </row>
    <row r="67" customFormat="false" ht="15" hidden="false" customHeight="true" outlineLevel="0" collapsed="false">
      <c r="A67" s="11" t="s">
        <v>196</v>
      </c>
      <c r="B67" s="11" t="s">
        <v>227</v>
      </c>
      <c r="C67" s="11" t="s">
        <v>228</v>
      </c>
      <c r="D67" s="11" t="s">
        <v>43</v>
      </c>
      <c r="E67" s="11" t="s">
        <v>28</v>
      </c>
      <c r="F67" s="11" t="s">
        <v>99</v>
      </c>
      <c r="G67" s="12" t="n">
        <v>7</v>
      </c>
      <c r="H67" s="12" t="n">
        <v>71</v>
      </c>
      <c r="I67" s="12" t="n">
        <f aca="false">INDEX('Tiendas por tramo'!$C$5:$C$10,MATCH(E67,'Tiendas por tramo'!$A$5:$A$10,0))</f>
        <v>8</v>
      </c>
      <c r="J67" s="13" t="n">
        <f aca="false">IFERROR(H67/I67,"")</f>
        <v>8.875</v>
      </c>
      <c r="K67" s="14" t="n">
        <f aca="false">IFERROR(J67/G67,"")</f>
        <v>1.26785714285714</v>
      </c>
      <c r="L67" s="11" t="str">
        <f aca="false">IF(K67&lt;1,"⚠ revisar stock","")</f>
        <v/>
      </c>
    </row>
    <row r="68" customFormat="false" ht="15" hidden="false" customHeight="true" outlineLevel="0" collapsed="false">
      <c r="A68" s="11" t="s">
        <v>196</v>
      </c>
      <c r="B68" s="11" t="s">
        <v>229</v>
      </c>
      <c r="C68" s="11" t="s">
        <v>230</v>
      </c>
      <c r="D68" s="11" t="s">
        <v>43</v>
      </c>
      <c r="E68" s="11" t="s">
        <v>28</v>
      </c>
      <c r="F68" s="11" t="s">
        <v>99</v>
      </c>
      <c r="G68" s="12" t="n">
        <v>7</v>
      </c>
      <c r="H68" s="12" t="n">
        <v>79</v>
      </c>
      <c r="I68" s="12" t="n">
        <f aca="false">INDEX('Tiendas por tramo'!$C$5:$C$10,MATCH(E68,'Tiendas por tramo'!$A$5:$A$10,0))</f>
        <v>8</v>
      </c>
      <c r="J68" s="13" t="n">
        <f aca="false">IFERROR(H68/I68,"")</f>
        <v>9.875</v>
      </c>
      <c r="K68" s="14" t="n">
        <f aca="false">IFERROR(J68/G68,"")</f>
        <v>1.41071428571429</v>
      </c>
      <c r="L68" s="11" t="str">
        <f aca="false">IF(K68&lt;1,"⚠ revisar stock","")</f>
        <v/>
      </c>
    </row>
    <row r="69" customFormat="false" ht="15" hidden="false" customHeight="true" outlineLevel="0" collapsed="false">
      <c r="A69" s="11" t="s">
        <v>196</v>
      </c>
      <c r="B69" s="11" t="s">
        <v>231</v>
      </c>
      <c r="C69" s="11" t="s">
        <v>232</v>
      </c>
      <c r="D69" s="11" t="s">
        <v>43</v>
      </c>
      <c r="E69" s="11" t="s">
        <v>28</v>
      </c>
      <c r="F69" s="11" t="s">
        <v>99</v>
      </c>
      <c r="G69" s="12" t="n">
        <v>7</v>
      </c>
      <c r="H69" s="12" t="n">
        <v>87</v>
      </c>
      <c r="I69" s="12" t="n">
        <f aca="false">INDEX('Tiendas por tramo'!$C$5:$C$10,MATCH(E69,'Tiendas por tramo'!$A$5:$A$10,0))</f>
        <v>8</v>
      </c>
      <c r="J69" s="13" t="n">
        <f aca="false">IFERROR(H69/I69,"")</f>
        <v>10.875</v>
      </c>
      <c r="K69" s="14" t="n">
        <f aca="false">IFERROR(J69/G69,"")</f>
        <v>1.55357142857143</v>
      </c>
      <c r="L69" s="11" t="str">
        <f aca="false">IF(K69&lt;1,"⚠ revisar stock","")</f>
        <v/>
      </c>
    </row>
    <row r="70" customFormat="false" ht="15" hidden="false" customHeight="true" outlineLevel="0" collapsed="false">
      <c r="A70" s="11" t="s">
        <v>196</v>
      </c>
      <c r="B70" s="11" t="s">
        <v>233</v>
      </c>
      <c r="C70" s="11" t="s">
        <v>234</v>
      </c>
      <c r="D70" s="11" t="s">
        <v>43</v>
      </c>
      <c r="E70" s="11" t="s">
        <v>28</v>
      </c>
      <c r="F70" s="11" t="s">
        <v>99</v>
      </c>
      <c r="G70" s="12" t="n">
        <v>7</v>
      </c>
      <c r="H70" s="12" t="n">
        <v>190</v>
      </c>
      <c r="I70" s="12" t="n">
        <f aca="false">INDEX('Tiendas por tramo'!$C$5:$C$10,MATCH(E70,'Tiendas por tramo'!$A$5:$A$10,0))</f>
        <v>8</v>
      </c>
      <c r="J70" s="13" t="n">
        <f aca="false">IFERROR(H70/I70,"")</f>
        <v>23.75</v>
      </c>
      <c r="K70" s="14" t="n">
        <f aca="false">IFERROR(J70/G70,"")</f>
        <v>3.39285714285714</v>
      </c>
      <c r="L70" s="11" t="str">
        <f aca="false">IF(K70&lt;1,"⚠ revisar stock","")</f>
        <v/>
      </c>
    </row>
    <row r="71" customFormat="false" ht="15" hidden="false" customHeight="true" outlineLevel="0" collapsed="false">
      <c r="A71" s="11" t="s">
        <v>196</v>
      </c>
      <c r="B71" s="11" t="s">
        <v>235</v>
      </c>
      <c r="C71" s="11" t="s">
        <v>236</v>
      </c>
      <c r="D71" s="11" t="s">
        <v>43</v>
      </c>
      <c r="E71" s="11" t="s">
        <v>28</v>
      </c>
      <c r="F71" s="11" t="s">
        <v>99</v>
      </c>
      <c r="G71" s="12" t="n">
        <v>7</v>
      </c>
      <c r="H71" s="12" t="n">
        <v>163</v>
      </c>
      <c r="I71" s="12" t="n">
        <f aca="false">INDEX('Tiendas por tramo'!$C$5:$C$10,MATCH(E71,'Tiendas por tramo'!$A$5:$A$10,0))</f>
        <v>8</v>
      </c>
      <c r="J71" s="13" t="n">
        <f aca="false">IFERROR(H71/I71,"")</f>
        <v>20.375</v>
      </c>
      <c r="K71" s="14" t="n">
        <f aca="false">IFERROR(J71/G71,"")</f>
        <v>2.91071428571429</v>
      </c>
      <c r="L71" s="11" t="str">
        <f aca="false">IF(K71&lt;1,"⚠ revisar stock","")</f>
        <v/>
      </c>
    </row>
    <row r="72" customFormat="false" ht="15" hidden="false" customHeight="true" outlineLevel="0" collapsed="false">
      <c r="A72" s="11" t="s">
        <v>196</v>
      </c>
      <c r="B72" s="11" t="s">
        <v>237</v>
      </c>
      <c r="C72" s="11" t="s">
        <v>212</v>
      </c>
      <c r="D72" s="11" t="s">
        <v>43</v>
      </c>
      <c r="E72" s="11" t="s">
        <v>28</v>
      </c>
      <c r="F72" s="11" t="s">
        <v>99</v>
      </c>
      <c r="G72" s="12" t="n">
        <v>7</v>
      </c>
      <c r="H72" s="12" t="n">
        <v>45</v>
      </c>
      <c r="I72" s="12" t="n">
        <f aca="false">INDEX('Tiendas por tramo'!$C$5:$C$10,MATCH(E72,'Tiendas por tramo'!$A$5:$A$10,0))</f>
        <v>8</v>
      </c>
      <c r="J72" s="13" t="n">
        <f aca="false">IFERROR(H72/I72,"")</f>
        <v>5.625</v>
      </c>
      <c r="K72" s="14" t="n">
        <f aca="false">IFERROR(J72/G72,"")</f>
        <v>0.803571428571429</v>
      </c>
      <c r="L72" s="11" t="str">
        <f aca="false">IF(K72&lt;1,"⚠ revisar stock","")</f>
        <v>⚠ revisar stock</v>
      </c>
    </row>
    <row r="73" customFormat="false" ht="15" hidden="false" customHeight="true" outlineLevel="0" collapsed="false">
      <c r="A73" s="11" t="s">
        <v>196</v>
      </c>
      <c r="B73" s="11" t="s">
        <v>238</v>
      </c>
      <c r="C73" s="11" t="s">
        <v>214</v>
      </c>
      <c r="D73" s="11" t="s">
        <v>43</v>
      </c>
      <c r="E73" s="11" t="s">
        <v>28</v>
      </c>
      <c r="F73" s="11" t="s">
        <v>99</v>
      </c>
      <c r="G73" s="12" t="n">
        <v>7</v>
      </c>
      <c r="H73" s="12" t="n">
        <v>148</v>
      </c>
      <c r="I73" s="12" t="n">
        <f aca="false">INDEX('Tiendas por tramo'!$C$5:$C$10,MATCH(E73,'Tiendas por tramo'!$A$5:$A$10,0))</f>
        <v>8</v>
      </c>
      <c r="J73" s="13" t="n">
        <f aca="false">IFERROR(H73/I73,"")</f>
        <v>18.5</v>
      </c>
      <c r="K73" s="14" t="n">
        <f aca="false">IFERROR(J73/G73,"")</f>
        <v>2.64285714285714</v>
      </c>
      <c r="L73" s="11" t="str">
        <f aca="false">IF(K73&lt;1,"⚠ revisar stock","")</f>
        <v/>
      </c>
    </row>
    <row r="74" customFormat="false" ht="15" hidden="false" customHeight="true" outlineLevel="0" collapsed="false">
      <c r="A74" s="11" t="s">
        <v>196</v>
      </c>
      <c r="B74" s="11" t="s">
        <v>239</v>
      </c>
      <c r="C74" s="11" t="s">
        <v>230</v>
      </c>
      <c r="D74" s="11" t="s">
        <v>43</v>
      </c>
      <c r="E74" s="11" t="s">
        <v>28</v>
      </c>
      <c r="F74" s="11" t="s">
        <v>99</v>
      </c>
      <c r="G74" s="12" t="n">
        <v>7</v>
      </c>
      <c r="H74" s="12" t="n">
        <v>65</v>
      </c>
      <c r="I74" s="12" t="n">
        <f aca="false">INDEX('Tiendas por tramo'!$C$5:$C$10,MATCH(E74,'Tiendas por tramo'!$A$5:$A$10,0))</f>
        <v>8</v>
      </c>
      <c r="J74" s="13" t="n">
        <f aca="false">IFERROR(H74/I74,"")</f>
        <v>8.125</v>
      </c>
      <c r="K74" s="14" t="n">
        <f aca="false">IFERROR(J74/G74,"")</f>
        <v>1.16071428571429</v>
      </c>
      <c r="L74" s="11" t="str">
        <f aca="false">IF(K74&lt;1,"⚠ revisar stock","")</f>
        <v/>
      </c>
    </row>
    <row r="75" customFormat="false" ht="15" hidden="false" customHeight="true" outlineLevel="0" collapsed="false">
      <c r="A75" s="11" t="s">
        <v>196</v>
      </c>
      <c r="B75" s="11" t="s">
        <v>240</v>
      </c>
      <c r="C75" s="11" t="s">
        <v>241</v>
      </c>
      <c r="D75" s="11" t="s">
        <v>45</v>
      </c>
      <c r="E75" s="11" t="s">
        <v>30</v>
      </c>
      <c r="F75" s="11" t="s">
        <v>99</v>
      </c>
      <c r="G75" s="12" t="n">
        <v>7</v>
      </c>
      <c r="H75" s="12" t="n">
        <v>48</v>
      </c>
      <c r="I75" s="12" t="n">
        <f aca="false">INDEX('Tiendas por tramo'!$C$5:$C$10,MATCH(E75,'Tiendas por tramo'!$A$5:$A$10,0))</f>
        <v>7</v>
      </c>
      <c r="J75" s="13" t="n">
        <f aca="false">IFERROR(H75/I75,"")</f>
        <v>6.85714285714286</v>
      </c>
      <c r="K75" s="14" t="n">
        <f aca="false">IFERROR(J75/G75,"")</f>
        <v>0.979591836734694</v>
      </c>
      <c r="L75" s="11" t="str">
        <f aca="false">IF(K75&lt;1,"⚠ revisar stock","")</f>
        <v>⚠ revisar stock</v>
      </c>
    </row>
    <row r="76" customFormat="false" ht="15" hidden="false" customHeight="true" outlineLevel="0" collapsed="false">
      <c r="A76" s="11" t="s">
        <v>196</v>
      </c>
      <c r="B76" s="11" t="s">
        <v>242</v>
      </c>
      <c r="C76" s="11" t="s">
        <v>243</v>
      </c>
      <c r="D76" s="11" t="s">
        <v>45</v>
      </c>
      <c r="E76" s="11" t="s">
        <v>30</v>
      </c>
      <c r="F76" s="11" t="s">
        <v>99</v>
      </c>
      <c r="G76" s="12" t="n">
        <v>7</v>
      </c>
      <c r="H76" s="12" t="n">
        <v>60</v>
      </c>
      <c r="I76" s="12" t="n">
        <f aca="false">INDEX('Tiendas por tramo'!$C$5:$C$10,MATCH(E76,'Tiendas por tramo'!$A$5:$A$10,0))</f>
        <v>7</v>
      </c>
      <c r="J76" s="13" t="n">
        <f aca="false">IFERROR(H76/I76,"")</f>
        <v>8.57142857142857</v>
      </c>
      <c r="K76" s="14" t="n">
        <f aca="false">IFERROR(J76/G76,"")</f>
        <v>1.22448979591837</v>
      </c>
      <c r="L76" s="11" t="str">
        <f aca="false">IF(K76&lt;1,"⚠ revisar stock","")</f>
        <v/>
      </c>
    </row>
    <row r="77" customFormat="false" ht="15" hidden="false" customHeight="true" outlineLevel="0" collapsed="false">
      <c r="A77" s="11" t="s">
        <v>196</v>
      </c>
      <c r="B77" s="11" t="s">
        <v>244</v>
      </c>
      <c r="C77" s="11" t="s">
        <v>245</v>
      </c>
      <c r="D77" s="11" t="s">
        <v>45</v>
      </c>
      <c r="E77" s="11" t="s">
        <v>30</v>
      </c>
      <c r="F77" s="11" t="s">
        <v>99</v>
      </c>
      <c r="G77" s="12" t="n">
        <v>7</v>
      </c>
      <c r="H77" s="12" t="n">
        <v>37</v>
      </c>
      <c r="I77" s="12" t="n">
        <f aca="false">INDEX('Tiendas por tramo'!$C$5:$C$10,MATCH(E77,'Tiendas por tramo'!$A$5:$A$10,0))</f>
        <v>7</v>
      </c>
      <c r="J77" s="13" t="n">
        <f aca="false">IFERROR(H77/I77,"")</f>
        <v>5.28571428571429</v>
      </c>
      <c r="K77" s="14" t="n">
        <f aca="false">IFERROR(J77/G77,"")</f>
        <v>0.755102040816327</v>
      </c>
      <c r="L77" s="11" t="str">
        <f aca="false">IF(K77&lt;1,"⚠ revisar stock","")</f>
        <v>⚠ revisar stock</v>
      </c>
    </row>
    <row r="78" customFormat="false" ht="15" hidden="false" customHeight="true" outlineLevel="0" collapsed="false">
      <c r="A78" s="11" t="s">
        <v>196</v>
      </c>
      <c r="B78" s="11" t="s">
        <v>246</v>
      </c>
      <c r="C78" s="11" t="s">
        <v>247</v>
      </c>
      <c r="D78" s="11" t="s">
        <v>45</v>
      </c>
      <c r="E78" s="11" t="s">
        <v>30</v>
      </c>
      <c r="F78" s="11" t="s">
        <v>99</v>
      </c>
      <c r="G78" s="12" t="n">
        <v>7</v>
      </c>
      <c r="H78" s="12" t="n">
        <v>43</v>
      </c>
      <c r="I78" s="12" t="n">
        <f aca="false">INDEX('Tiendas por tramo'!$C$5:$C$10,MATCH(E78,'Tiendas por tramo'!$A$5:$A$10,0))</f>
        <v>7</v>
      </c>
      <c r="J78" s="13" t="n">
        <f aca="false">IFERROR(H78/I78,"")</f>
        <v>6.14285714285714</v>
      </c>
      <c r="K78" s="14" t="n">
        <f aca="false">IFERROR(J78/G78,"")</f>
        <v>0.877551020408163</v>
      </c>
      <c r="L78" s="11" t="str">
        <f aca="false">IF(K78&lt;1,"⚠ revisar stock","")</f>
        <v>⚠ revisar stock</v>
      </c>
    </row>
    <row r="79" customFormat="false" ht="15" hidden="false" customHeight="true" outlineLevel="0" collapsed="false">
      <c r="A79" s="11" t="s">
        <v>196</v>
      </c>
      <c r="B79" s="11" t="s">
        <v>248</v>
      </c>
      <c r="C79" s="11" t="s">
        <v>249</v>
      </c>
      <c r="D79" s="11" t="s">
        <v>45</v>
      </c>
      <c r="E79" s="11" t="s">
        <v>30</v>
      </c>
      <c r="F79" s="11" t="s">
        <v>99</v>
      </c>
      <c r="G79" s="12" t="n">
        <v>6</v>
      </c>
      <c r="H79" s="12" t="n">
        <v>64</v>
      </c>
      <c r="I79" s="12" t="n">
        <f aca="false">INDEX('Tiendas por tramo'!$C$5:$C$10,MATCH(E79,'Tiendas por tramo'!$A$5:$A$10,0))</f>
        <v>7</v>
      </c>
      <c r="J79" s="13" t="n">
        <f aca="false">IFERROR(H79/I79,"")</f>
        <v>9.14285714285714</v>
      </c>
      <c r="K79" s="14" t="n">
        <f aca="false">IFERROR(J79/G79,"")</f>
        <v>1.52380952380952</v>
      </c>
      <c r="L79" s="11" t="str">
        <f aca="false">IF(K79&lt;1,"⚠ revisar stock","")</f>
        <v/>
      </c>
    </row>
    <row r="80" customFormat="false" ht="15" hidden="false" customHeight="true" outlineLevel="0" collapsed="false">
      <c r="A80" s="11" t="s">
        <v>196</v>
      </c>
      <c r="B80" s="11" t="s">
        <v>250</v>
      </c>
      <c r="C80" s="11" t="s">
        <v>251</v>
      </c>
      <c r="D80" s="11" t="s">
        <v>45</v>
      </c>
      <c r="E80" s="11" t="s">
        <v>30</v>
      </c>
      <c r="F80" s="11" t="s">
        <v>99</v>
      </c>
      <c r="G80" s="12" t="n">
        <v>7</v>
      </c>
      <c r="H80" s="12" t="n">
        <v>54</v>
      </c>
      <c r="I80" s="12" t="n">
        <f aca="false">INDEX('Tiendas por tramo'!$C$5:$C$10,MATCH(E80,'Tiendas por tramo'!$A$5:$A$10,0))</f>
        <v>7</v>
      </c>
      <c r="J80" s="13" t="n">
        <f aca="false">IFERROR(H80/I80,"")</f>
        <v>7.71428571428571</v>
      </c>
      <c r="K80" s="14" t="n">
        <f aca="false">IFERROR(J80/G80,"")</f>
        <v>1.10204081632653</v>
      </c>
      <c r="L80" s="11" t="str">
        <f aca="false">IF(K80&lt;1,"⚠ revisar stock","")</f>
        <v/>
      </c>
    </row>
    <row r="81" customFormat="false" ht="15" hidden="false" customHeight="true" outlineLevel="0" collapsed="false">
      <c r="A81" s="11" t="s">
        <v>196</v>
      </c>
      <c r="B81" s="11" t="s">
        <v>252</v>
      </c>
      <c r="C81" s="11" t="s">
        <v>253</v>
      </c>
      <c r="D81" s="11" t="s">
        <v>45</v>
      </c>
      <c r="E81" s="11" t="s">
        <v>30</v>
      </c>
      <c r="F81" s="11" t="s">
        <v>99</v>
      </c>
      <c r="G81" s="12" t="n">
        <v>7</v>
      </c>
      <c r="H81" s="12" t="n">
        <v>42</v>
      </c>
      <c r="I81" s="12" t="n">
        <f aca="false">INDEX('Tiendas por tramo'!$C$5:$C$10,MATCH(E81,'Tiendas por tramo'!$A$5:$A$10,0))</f>
        <v>7</v>
      </c>
      <c r="J81" s="13" t="n">
        <f aca="false">IFERROR(H81/I81,"")</f>
        <v>6</v>
      </c>
      <c r="K81" s="14" t="n">
        <f aca="false">IFERROR(J81/G81,"")</f>
        <v>0.857142857142857</v>
      </c>
      <c r="L81" s="11" t="str">
        <f aca="false">IF(K81&lt;1,"⚠ revisar stock","")</f>
        <v>⚠ revisar stock</v>
      </c>
    </row>
    <row r="82" customFormat="false" ht="15" hidden="false" customHeight="true" outlineLevel="0" collapsed="false">
      <c r="A82" s="11" t="s">
        <v>196</v>
      </c>
      <c r="B82" s="11" t="s">
        <v>254</v>
      </c>
      <c r="C82" s="11" t="s">
        <v>255</v>
      </c>
      <c r="D82" s="11" t="s">
        <v>47</v>
      </c>
      <c r="E82" s="11" t="s">
        <v>34</v>
      </c>
      <c r="F82" s="11" t="s">
        <v>99</v>
      </c>
      <c r="G82" s="12" t="n">
        <v>6</v>
      </c>
      <c r="H82" s="12" t="n">
        <v>23</v>
      </c>
      <c r="I82" s="12" t="n">
        <f aca="false">INDEX('Tiendas por tramo'!$C$5:$C$10,MATCH(E82,'Tiendas por tramo'!$A$5:$A$10,0))</f>
        <v>3</v>
      </c>
      <c r="J82" s="13" t="n">
        <f aca="false">IFERROR(H82/I82,"")</f>
        <v>7.66666666666667</v>
      </c>
      <c r="K82" s="14" t="n">
        <f aca="false">IFERROR(J82/G82,"")</f>
        <v>1.27777777777778</v>
      </c>
      <c r="L82" s="11" t="str">
        <f aca="false">IF(K82&lt;1,"⚠ revisar stock","")</f>
        <v/>
      </c>
    </row>
    <row r="83" customFormat="false" ht="15" hidden="false" customHeight="true" outlineLevel="0" collapsed="false">
      <c r="A83" s="11" t="s">
        <v>196</v>
      </c>
      <c r="B83" s="11" t="s">
        <v>256</v>
      </c>
      <c r="C83" s="11" t="s">
        <v>257</v>
      </c>
      <c r="D83" s="11" t="s">
        <v>47</v>
      </c>
      <c r="E83" s="11" t="s">
        <v>34</v>
      </c>
      <c r="F83" s="11" t="s">
        <v>96</v>
      </c>
      <c r="G83" s="12" t="n">
        <v>7</v>
      </c>
      <c r="H83" s="12" t="n">
        <v>40</v>
      </c>
      <c r="I83" s="12" t="n">
        <f aca="false">INDEX('Tiendas por tramo'!$C$5:$C$10,MATCH(E83,'Tiendas por tramo'!$A$5:$A$10,0))</f>
        <v>3</v>
      </c>
      <c r="J83" s="13" t="n">
        <f aca="false">IFERROR(H83/I83,"")</f>
        <v>13.3333333333333</v>
      </c>
      <c r="K83" s="14" t="n">
        <f aca="false">IFERROR(J83/G83,"")</f>
        <v>1.9047619047619</v>
      </c>
      <c r="L83" s="11" t="str">
        <f aca="false">IF(K83&lt;1,"⚠ revisar stock","")</f>
        <v/>
      </c>
    </row>
    <row r="84" customFormat="false" ht="15" hidden="false" customHeight="true" outlineLevel="0" collapsed="false">
      <c r="A84" s="11" t="s">
        <v>196</v>
      </c>
      <c r="B84" s="11" t="s">
        <v>258</v>
      </c>
      <c r="C84" s="11" t="s">
        <v>259</v>
      </c>
      <c r="D84" s="11" t="s">
        <v>47</v>
      </c>
      <c r="E84" s="11" t="s">
        <v>34</v>
      </c>
      <c r="F84" s="11" t="s">
        <v>99</v>
      </c>
      <c r="G84" s="12" t="n">
        <v>7</v>
      </c>
      <c r="H84" s="12" t="n">
        <v>39</v>
      </c>
      <c r="I84" s="12" t="n">
        <f aca="false">INDEX('Tiendas por tramo'!$C$5:$C$10,MATCH(E84,'Tiendas por tramo'!$A$5:$A$10,0))</f>
        <v>3</v>
      </c>
      <c r="J84" s="13" t="n">
        <f aca="false">IFERROR(H84/I84,"")</f>
        <v>13</v>
      </c>
      <c r="K84" s="14" t="n">
        <f aca="false">IFERROR(J84/G84,"")</f>
        <v>1.85714285714286</v>
      </c>
      <c r="L84" s="11" t="str">
        <f aca="false">IF(K84&lt;1,"⚠ revisar stock","")</f>
        <v/>
      </c>
    </row>
    <row r="85" customFormat="false" ht="15" hidden="false" customHeight="true" outlineLevel="0" collapsed="false">
      <c r="A85" s="11" t="s">
        <v>196</v>
      </c>
      <c r="B85" s="11" t="s">
        <v>260</v>
      </c>
      <c r="C85" s="11" t="s">
        <v>261</v>
      </c>
      <c r="D85" s="11" t="s">
        <v>47</v>
      </c>
      <c r="E85" s="11" t="s">
        <v>34</v>
      </c>
      <c r="F85" s="11" t="s">
        <v>99</v>
      </c>
      <c r="G85" s="12" t="n">
        <v>7</v>
      </c>
      <c r="H85" s="12" t="n">
        <v>42</v>
      </c>
      <c r="I85" s="12" t="n">
        <f aca="false">INDEX('Tiendas por tramo'!$C$5:$C$10,MATCH(E85,'Tiendas por tramo'!$A$5:$A$10,0))</f>
        <v>3</v>
      </c>
      <c r="J85" s="13" t="n">
        <f aca="false">IFERROR(H85/I85,"")</f>
        <v>14</v>
      </c>
      <c r="K85" s="14" t="n">
        <f aca="false">IFERROR(J85/G85,"")</f>
        <v>2</v>
      </c>
      <c r="L85" s="11" t="str">
        <f aca="false">IF(K85&lt;1,"⚠ revisar stock","")</f>
        <v/>
      </c>
    </row>
    <row r="86" customFormat="false" ht="15" hidden="false" customHeight="true" outlineLevel="0" collapsed="false">
      <c r="A86" s="11" t="s">
        <v>196</v>
      </c>
      <c r="B86" s="11" t="s">
        <v>262</v>
      </c>
      <c r="C86" s="11" t="s">
        <v>263</v>
      </c>
      <c r="D86" s="11" t="s">
        <v>47</v>
      </c>
      <c r="E86" s="11" t="s">
        <v>34</v>
      </c>
      <c r="F86" s="11" t="s">
        <v>99</v>
      </c>
      <c r="G86" s="12" t="n">
        <v>7</v>
      </c>
      <c r="H86" s="12" t="n">
        <v>49</v>
      </c>
      <c r="I86" s="12" t="n">
        <f aca="false">INDEX('Tiendas por tramo'!$C$5:$C$10,MATCH(E86,'Tiendas por tramo'!$A$5:$A$10,0))</f>
        <v>3</v>
      </c>
      <c r="J86" s="13" t="n">
        <f aca="false">IFERROR(H86/I86,"")</f>
        <v>16.3333333333333</v>
      </c>
      <c r="K86" s="14" t="n">
        <f aca="false">IFERROR(J86/G86,"")</f>
        <v>2.33333333333333</v>
      </c>
      <c r="L86" s="11" t="str">
        <f aca="false">IF(K86&lt;1,"⚠ revisar stock","")</f>
        <v/>
      </c>
    </row>
    <row r="87" customFormat="false" ht="15" hidden="false" customHeight="true" outlineLevel="0" collapsed="false">
      <c r="A87" s="11" t="s">
        <v>196</v>
      </c>
      <c r="B87" s="11" t="s">
        <v>264</v>
      </c>
      <c r="C87" s="11" t="s">
        <v>265</v>
      </c>
      <c r="D87" s="11" t="s">
        <v>47</v>
      </c>
      <c r="E87" s="11" t="s">
        <v>34</v>
      </c>
      <c r="F87" s="11" t="s">
        <v>99</v>
      </c>
      <c r="G87" s="12" t="n">
        <v>7</v>
      </c>
      <c r="H87" s="12" t="n">
        <v>51</v>
      </c>
      <c r="I87" s="12" t="n">
        <f aca="false">INDEX('Tiendas por tramo'!$C$5:$C$10,MATCH(E87,'Tiendas por tramo'!$A$5:$A$10,0))</f>
        <v>3</v>
      </c>
      <c r="J87" s="13" t="n">
        <f aca="false">IFERROR(H87/I87,"")</f>
        <v>17</v>
      </c>
      <c r="K87" s="14" t="n">
        <f aca="false">IFERROR(J87/G87,"")</f>
        <v>2.42857142857143</v>
      </c>
      <c r="L87" s="11" t="str">
        <f aca="false">IF(K87&lt;1,"⚠ revisar stock","")</f>
        <v/>
      </c>
    </row>
    <row r="88" customFormat="false" ht="15" hidden="false" customHeight="true" outlineLevel="0" collapsed="false">
      <c r="A88" s="11" t="s">
        <v>196</v>
      </c>
      <c r="B88" s="11" t="s">
        <v>266</v>
      </c>
      <c r="C88" s="11" t="s">
        <v>267</v>
      </c>
      <c r="D88" s="11" t="s">
        <v>47</v>
      </c>
      <c r="E88" s="11" t="s">
        <v>34</v>
      </c>
      <c r="F88" s="11" t="s">
        <v>99</v>
      </c>
      <c r="G88" s="12" t="n">
        <v>7</v>
      </c>
      <c r="H88" s="12" t="n">
        <v>39</v>
      </c>
      <c r="I88" s="12" t="n">
        <f aca="false">INDEX('Tiendas por tramo'!$C$5:$C$10,MATCH(E88,'Tiendas por tramo'!$A$5:$A$10,0))</f>
        <v>3</v>
      </c>
      <c r="J88" s="13" t="n">
        <f aca="false">IFERROR(H88/I88,"")</f>
        <v>13</v>
      </c>
      <c r="K88" s="14" t="n">
        <f aca="false">IFERROR(J88/G88,"")</f>
        <v>1.85714285714286</v>
      </c>
      <c r="L88" s="11" t="str">
        <f aca="false">IF(K88&lt;1,"⚠ revisar stock","")</f>
        <v/>
      </c>
    </row>
    <row r="89" customFormat="false" ht="15" hidden="false" customHeight="true" outlineLevel="0" collapsed="false">
      <c r="A89" s="11" t="s">
        <v>196</v>
      </c>
      <c r="B89" s="11" t="s">
        <v>268</v>
      </c>
      <c r="C89" s="11" t="s">
        <v>269</v>
      </c>
      <c r="D89" s="11" t="s">
        <v>47</v>
      </c>
      <c r="E89" s="11" t="s">
        <v>36</v>
      </c>
      <c r="F89" s="11" t="s">
        <v>96</v>
      </c>
      <c r="G89" s="12" t="n">
        <v>7</v>
      </c>
      <c r="H89" s="12" t="n">
        <v>111</v>
      </c>
      <c r="I89" s="12" t="n">
        <f aca="false">INDEX('Tiendas por tramo'!$C$5:$C$10,MATCH(E89,'Tiendas por tramo'!$A$5:$A$10,0))</f>
        <v>15</v>
      </c>
      <c r="J89" s="13" t="n">
        <f aca="false">IFERROR(H89/I89,"")</f>
        <v>7.4</v>
      </c>
      <c r="K89" s="14" t="n">
        <f aca="false">IFERROR(J89/G89,"")</f>
        <v>1.05714285714286</v>
      </c>
      <c r="L89" s="11" t="str">
        <f aca="false">IF(K89&lt;1,"⚠ revisar stock","")</f>
        <v/>
      </c>
    </row>
    <row r="90" customFormat="false" ht="15" hidden="false" customHeight="true" outlineLevel="0" collapsed="false">
      <c r="A90" s="11" t="s">
        <v>270</v>
      </c>
      <c r="B90" s="11" t="s">
        <v>271</v>
      </c>
      <c r="C90" s="11" t="s">
        <v>272</v>
      </c>
      <c r="D90" s="11" t="s">
        <v>45</v>
      </c>
      <c r="E90" s="11" t="s">
        <v>30</v>
      </c>
      <c r="F90" s="11" t="s">
        <v>99</v>
      </c>
      <c r="G90" s="12" t="n">
        <v>8</v>
      </c>
      <c r="H90" s="12" t="n">
        <v>35</v>
      </c>
      <c r="I90" s="12" t="n">
        <f aca="false">INDEX('Tiendas por tramo'!$C$5:$C$10,MATCH(E90,'Tiendas por tramo'!$A$5:$A$10,0))</f>
        <v>7</v>
      </c>
      <c r="J90" s="13" t="n">
        <f aca="false">IFERROR(H90/I90,"")</f>
        <v>5</v>
      </c>
      <c r="K90" s="14" t="n">
        <f aca="false">IFERROR(J90/G90,"")</f>
        <v>0.625</v>
      </c>
      <c r="L90" s="11" t="str">
        <f aca="false">IF(K90&lt;1,"⚠ revisar stock","")</f>
        <v>⚠ revisar stock</v>
      </c>
    </row>
    <row r="91" customFormat="false" ht="15" hidden="false" customHeight="true" outlineLevel="0" collapsed="false">
      <c r="A91" s="11" t="s">
        <v>270</v>
      </c>
      <c r="B91" s="11" t="s">
        <v>273</v>
      </c>
      <c r="C91" s="11" t="s">
        <v>274</v>
      </c>
      <c r="D91" s="11" t="s">
        <v>45</v>
      </c>
      <c r="E91" s="11" t="s">
        <v>32</v>
      </c>
      <c r="F91" s="11" t="s">
        <v>96</v>
      </c>
      <c r="G91" s="12" t="n">
        <v>8</v>
      </c>
      <c r="H91" s="12" t="n">
        <v>145</v>
      </c>
      <c r="I91" s="12" t="n">
        <f aca="false">INDEX('Tiendas por tramo'!$C$5:$C$10,MATCH(E91,'Tiendas por tramo'!$A$5:$A$10,0))</f>
        <v>12</v>
      </c>
      <c r="J91" s="13" t="n">
        <f aca="false">IFERROR(H91/I91,"")</f>
        <v>12.0833333333333</v>
      </c>
      <c r="K91" s="14" t="n">
        <f aca="false">IFERROR(J91/G91,"")</f>
        <v>1.51041666666667</v>
      </c>
      <c r="L91" s="11" t="str">
        <f aca="false">IF(K91&lt;1,"⚠ revisar stock","")</f>
        <v/>
      </c>
    </row>
    <row r="92" customFormat="false" ht="15" hidden="false" customHeight="true" outlineLevel="0" collapsed="false">
      <c r="A92" s="11" t="s">
        <v>270</v>
      </c>
      <c r="B92" s="11" t="s">
        <v>275</v>
      </c>
      <c r="C92" s="11" t="s">
        <v>276</v>
      </c>
      <c r="D92" s="11" t="s">
        <v>47</v>
      </c>
      <c r="E92" s="11" t="s">
        <v>34</v>
      </c>
      <c r="F92" s="11" t="s">
        <v>99</v>
      </c>
      <c r="G92" s="12" t="n">
        <v>8</v>
      </c>
      <c r="H92" s="12" t="n">
        <v>45</v>
      </c>
      <c r="I92" s="12" t="n">
        <f aca="false">INDEX('Tiendas por tramo'!$C$5:$C$10,MATCH(E92,'Tiendas por tramo'!$A$5:$A$10,0))</f>
        <v>3</v>
      </c>
      <c r="J92" s="13" t="n">
        <f aca="false">IFERROR(H92/I92,"")</f>
        <v>15</v>
      </c>
      <c r="K92" s="14" t="n">
        <f aca="false">IFERROR(J92/G92,"")</f>
        <v>1.875</v>
      </c>
      <c r="L92" s="11" t="str">
        <f aca="false">IF(K92&lt;1,"⚠ revisar stock","")</f>
        <v/>
      </c>
    </row>
    <row r="93" customFormat="false" ht="15" hidden="false" customHeight="true" outlineLevel="0" collapsed="false">
      <c r="A93" s="11" t="s">
        <v>277</v>
      </c>
      <c r="B93" s="11" t="s">
        <v>278</v>
      </c>
      <c r="C93" s="11" t="s">
        <v>279</v>
      </c>
      <c r="D93" s="11" t="s">
        <v>43</v>
      </c>
      <c r="E93" s="11" t="s">
        <v>28</v>
      </c>
      <c r="F93" s="11" t="s">
        <v>99</v>
      </c>
      <c r="G93" s="12" t="n">
        <v>7</v>
      </c>
      <c r="H93" s="12" t="n">
        <v>59</v>
      </c>
      <c r="I93" s="12" t="n">
        <f aca="false">INDEX('Tiendas por tramo'!$C$5:$C$10,MATCH(E93,'Tiendas por tramo'!$A$5:$A$10,0))</f>
        <v>8</v>
      </c>
      <c r="J93" s="13" t="n">
        <f aca="false">IFERROR(H93/I93,"")</f>
        <v>7.375</v>
      </c>
      <c r="K93" s="14" t="n">
        <f aca="false">IFERROR(J93/G93,"")</f>
        <v>1.05357142857143</v>
      </c>
      <c r="L93" s="11" t="str">
        <f aca="false">IF(K93&lt;1,"⚠ revisar stock","")</f>
        <v/>
      </c>
    </row>
    <row r="94" customFormat="false" ht="15" hidden="false" customHeight="true" outlineLevel="0" collapsed="false">
      <c r="A94" s="11" t="s">
        <v>277</v>
      </c>
      <c r="B94" s="11" t="s">
        <v>280</v>
      </c>
      <c r="C94" s="11" t="s">
        <v>281</v>
      </c>
      <c r="D94" s="11" t="s">
        <v>43</v>
      </c>
      <c r="E94" s="11" t="s">
        <v>28</v>
      </c>
      <c r="F94" s="11" t="s">
        <v>99</v>
      </c>
      <c r="G94" s="12" t="n">
        <v>7</v>
      </c>
      <c r="H94" s="12" t="n">
        <v>84</v>
      </c>
      <c r="I94" s="12" t="n">
        <f aca="false">INDEX('Tiendas por tramo'!$C$5:$C$10,MATCH(E94,'Tiendas por tramo'!$A$5:$A$10,0))</f>
        <v>8</v>
      </c>
      <c r="J94" s="13" t="n">
        <f aca="false">IFERROR(H94/I94,"")</f>
        <v>10.5</v>
      </c>
      <c r="K94" s="14" t="n">
        <f aca="false">IFERROR(J94/G94,"")</f>
        <v>1.5</v>
      </c>
      <c r="L94" s="11" t="str">
        <f aca="false">IF(K94&lt;1,"⚠ revisar stock","")</f>
        <v/>
      </c>
    </row>
    <row r="95" customFormat="false" ht="15" hidden="false" customHeight="true" outlineLevel="0" collapsed="false">
      <c r="A95" s="11" t="s">
        <v>277</v>
      </c>
      <c r="B95" s="11" t="s">
        <v>282</v>
      </c>
      <c r="C95" s="11" t="s">
        <v>283</v>
      </c>
      <c r="D95" s="11" t="s">
        <v>43</v>
      </c>
      <c r="E95" s="11" t="s">
        <v>28</v>
      </c>
      <c r="F95" s="11" t="s">
        <v>99</v>
      </c>
      <c r="G95" s="12" t="n">
        <v>7</v>
      </c>
      <c r="H95" s="12" t="n">
        <v>56</v>
      </c>
      <c r="I95" s="12" t="n">
        <f aca="false">INDEX('Tiendas por tramo'!$C$5:$C$10,MATCH(E95,'Tiendas por tramo'!$A$5:$A$10,0))</f>
        <v>8</v>
      </c>
      <c r="J95" s="13" t="n">
        <f aca="false">IFERROR(H95/I95,"")</f>
        <v>7</v>
      </c>
      <c r="K95" s="14" t="n">
        <f aca="false">IFERROR(J95/G95,"")</f>
        <v>1</v>
      </c>
      <c r="L95" s="11" t="str">
        <f aca="false">IF(K95&lt;1,"⚠ revisar stock","")</f>
        <v/>
      </c>
    </row>
    <row r="96" customFormat="false" ht="15" hidden="false" customHeight="true" outlineLevel="0" collapsed="false">
      <c r="A96" s="11" t="s">
        <v>277</v>
      </c>
      <c r="B96" s="11" t="s">
        <v>284</v>
      </c>
      <c r="C96" s="11" t="s">
        <v>285</v>
      </c>
      <c r="D96" s="11" t="s">
        <v>45</v>
      </c>
      <c r="E96" s="11" t="s">
        <v>32</v>
      </c>
      <c r="F96" s="11" t="s">
        <v>99</v>
      </c>
      <c r="G96" s="12" t="n">
        <v>7</v>
      </c>
      <c r="H96" s="12" t="n">
        <v>213</v>
      </c>
      <c r="I96" s="12" t="n">
        <f aca="false">INDEX('Tiendas por tramo'!$C$5:$C$10,MATCH(E96,'Tiendas por tramo'!$A$5:$A$10,0))</f>
        <v>12</v>
      </c>
      <c r="J96" s="13" t="n">
        <f aca="false">IFERROR(H96/I96,"")</f>
        <v>17.75</v>
      </c>
      <c r="K96" s="14" t="n">
        <f aca="false">IFERROR(J96/G96,"")</f>
        <v>2.53571428571429</v>
      </c>
      <c r="L96" s="11" t="str">
        <f aca="false">IF(K96&lt;1,"⚠ revisar stock","")</f>
        <v/>
      </c>
    </row>
    <row r="97" customFormat="false" ht="15" hidden="false" customHeight="true" outlineLevel="0" collapsed="false">
      <c r="A97" s="11" t="s">
        <v>277</v>
      </c>
      <c r="B97" s="11" t="s">
        <v>286</v>
      </c>
      <c r="C97" s="11" t="s">
        <v>287</v>
      </c>
      <c r="D97" s="11" t="s">
        <v>45</v>
      </c>
      <c r="E97" s="11" t="s">
        <v>32</v>
      </c>
      <c r="F97" s="11" t="s">
        <v>99</v>
      </c>
      <c r="G97" s="12" t="n">
        <v>7</v>
      </c>
      <c r="H97" s="12" t="n">
        <v>215</v>
      </c>
      <c r="I97" s="12" t="n">
        <f aca="false">INDEX('Tiendas por tramo'!$C$5:$C$10,MATCH(E97,'Tiendas por tramo'!$A$5:$A$10,0))</f>
        <v>12</v>
      </c>
      <c r="J97" s="13" t="n">
        <f aca="false">IFERROR(H97/I97,"")</f>
        <v>17.9166666666667</v>
      </c>
      <c r="K97" s="14" t="n">
        <f aca="false">IFERROR(J97/G97,"")</f>
        <v>2.55952380952381</v>
      </c>
      <c r="L97" s="11" t="str">
        <f aca="false">IF(K97&lt;1,"⚠ revisar stock","")</f>
        <v/>
      </c>
    </row>
    <row r="98" customFormat="false" ht="15" hidden="false" customHeight="true" outlineLevel="0" collapsed="false">
      <c r="A98" s="11" t="s">
        <v>277</v>
      </c>
      <c r="B98" s="11" t="s">
        <v>288</v>
      </c>
      <c r="C98" s="11" t="s">
        <v>289</v>
      </c>
      <c r="D98" s="11" t="s">
        <v>47</v>
      </c>
      <c r="E98" s="11" t="s">
        <v>36</v>
      </c>
      <c r="F98" s="11" t="s">
        <v>99</v>
      </c>
      <c r="G98" s="12" t="n">
        <v>7</v>
      </c>
      <c r="H98" s="12" t="n">
        <v>93</v>
      </c>
      <c r="I98" s="12" t="n">
        <f aca="false">INDEX('Tiendas por tramo'!$C$5:$C$10,MATCH(E98,'Tiendas por tramo'!$A$5:$A$10,0))</f>
        <v>15</v>
      </c>
      <c r="J98" s="13" t="n">
        <f aca="false">IFERROR(H98/I98,"")</f>
        <v>6.2</v>
      </c>
      <c r="K98" s="14" t="n">
        <f aca="false">IFERROR(J98/G98,"")</f>
        <v>0.885714285714286</v>
      </c>
      <c r="L98" s="11" t="str">
        <f aca="false">IF(K98&lt;1,"⚠ revisar stock","")</f>
        <v>⚠ revisar stock</v>
      </c>
    </row>
    <row r="99" customFormat="false" ht="15" hidden="false" customHeight="true" outlineLevel="0" collapsed="false">
      <c r="A99" s="11" t="s">
        <v>290</v>
      </c>
      <c r="B99" s="11" t="s">
        <v>291</v>
      </c>
      <c r="C99" s="11" t="s">
        <v>292</v>
      </c>
      <c r="D99" s="11" t="s">
        <v>43</v>
      </c>
      <c r="E99" s="11" t="s">
        <v>26</v>
      </c>
      <c r="F99" s="11" t="s">
        <v>99</v>
      </c>
      <c r="G99" s="12" t="n">
        <v>7</v>
      </c>
      <c r="H99" s="12" t="n">
        <v>20</v>
      </c>
      <c r="I99" s="12" t="n">
        <f aca="false">INDEX('Tiendas por tramo'!$C$5:$C$10,MATCH(E99,'Tiendas por tramo'!$A$5:$A$10,0))</f>
        <v>4</v>
      </c>
      <c r="J99" s="13" t="n">
        <f aca="false">IFERROR(H99/I99,"")</f>
        <v>5</v>
      </c>
      <c r="K99" s="14" t="n">
        <f aca="false">IFERROR(J99/G99,"")</f>
        <v>0.714285714285714</v>
      </c>
      <c r="L99" s="11" t="str">
        <f aca="false">IF(K99&lt;1,"⚠ revisar stock","")</f>
        <v>⚠ revisar stock</v>
      </c>
    </row>
    <row r="100" customFormat="false" ht="15" hidden="false" customHeight="true" outlineLevel="0" collapsed="false">
      <c r="A100" s="11" t="s">
        <v>290</v>
      </c>
      <c r="B100" s="11" t="s">
        <v>293</v>
      </c>
      <c r="C100" s="11" t="s">
        <v>294</v>
      </c>
      <c r="D100" s="11" t="s">
        <v>43</v>
      </c>
      <c r="E100" s="11" t="s">
        <v>26</v>
      </c>
      <c r="F100" s="11" t="s">
        <v>99</v>
      </c>
      <c r="G100" s="12" t="n">
        <v>7</v>
      </c>
      <c r="H100" s="12" t="n">
        <v>14</v>
      </c>
      <c r="I100" s="12" t="n">
        <f aca="false">INDEX('Tiendas por tramo'!$C$5:$C$10,MATCH(E100,'Tiendas por tramo'!$A$5:$A$10,0))</f>
        <v>4</v>
      </c>
      <c r="J100" s="13" t="n">
        <f aca="false">IFERROR(H100/I100,"")</f>
        <v>3.5</v>
      </c>
      <c r="K100" s="14" t="n">
        <f aca="false">IFERROR(J100/G100,"")</f>
        <v>0.5</v>
      </c>
      <c r="L100" s="11" t="str">
        <f aca="false">IF(K100&lt;1,"⚠ revisar stock","")</f>
        <v>⚠ revisar stock</v>
      </c>
    </row>
    <row r="101" customFormat="false" ht="15" hidden="false" customHeight="true" outlineLevel="0" collapsed="false">
      <c r="A101" s="11" t="s">
        <v>290</v>
      </c>
      <c r="B101" s="11" t="s">
        <v>295</v>
      </c>
      <c r="C101" s="11" t="s">
        <v>296</v>
      </c>
      <c r="D101" s="11" t="s">
        <v>45</v>
      </c>
      <c r="E101" s="11" t="s">
        <v>30</v>
      </c>
      <c r="F101" s="11" t="s">
        <v>99</v>
      </c>
      <c r="G101" s="12" t="n">
        <v>7</v>
      </c>
      <c r="H101" s="12" t="n">
        <v>40</v>
      </c>
      <c r="I101" s="12" t="n">
        <f aca="false">INDEX('Tiendas por tramo'!$C$5:$C$10,MATCH(E101,'Tiendas por tramo'!$A$5:$A$10,0))</f>
        <v>7</v>
      </c>
      <c r="J101" s="13" t="n">
        <f aca="false">IFERROR(H101/I101,"")</f>
        <v>5.71428571428571</v>
      </c>
      <c r="K101" s="14" t="n">
        <f aca="false">IFERROR(J101/G101,"")</f>
        <v>0.816326530612245</v>
      </c>
      <c r="L101" s="11" t="str">
        <f aca="false">IF(K101&lt;1,"⚠ revisar stock","")</f>
        <v>⚠ revisar stock</v>
      </c>
    </row>
    <row r="102" customFormat="false" ht="15" hidden="false" customHeight="true" outlineLevel="0" collapsed="false">
      <c r="A102" s="11" t="s">
        <v>290</v>
      </c>
      <c r="B102" s="11" t="s">
        <v>297</v>
      </c>
      <c r="C102" s="11" t="s">
        <v>298</v>
      </c>
      <c r="D102" s="11" t="s">
        <v>45</v>
      </c>
      <c r="E102" s="11" t="s">
        <v>32</v>
      </c>
      <c r="F102" s="11" t="s">
        <v>96</v>
      </c>
      <c r="G102" s="12" t="n">
        <v>7</v>
      </c>
      <c r="H102" s="12" t="n">
        <v>110</v>
      </c>
      <c r="I102" s="12" t="n">
        <f aca="false">INDEX('Tiendas por tramo'!$C$5:$C$10,MATCH(E102,'Tiendas por tramo'!$A$5:$A$10,0))</f>
        <v>12</v>
      </c>
      <c r="J102" s="13" t="n">
        <f aca="false">IFERROR(H102/I102,"")</f>
        <v>9.16666666666667</v>
      </c>
      <c r="K102" s="14" t="n">
        <f aca="false">IFERROR(J102/G102,"")</f>
        <v>1.30952380952381</v>
      </c>
      <c r="L102" s="11" t="str">
        <f aca="false">IF(K102&lt;1,"⚠ revisar stock","")</f>
        <v/>
      </c>
    </row>
    <row r="103" customFormat="false" ht="15" hidden="false" customHeight="true" outlineLevel="0" collapsed="false">
      <c r="A103" s="11" t="s">
        <v>290</v>
      </c>
      <c r="B103" s="11" t="s">
        <v>299</v>
      </c>
      <c r="C103" s="11" t="s">
        <v>300</v>
      </c>
      <c r="D103" s="11" t="s">
        <v>45</v>
      </c>
      <c r="E103" s="11" t="s">
        <v>32</v>
      </c>
      <c r="F103" s="11" t="s">
        <v>96</v>
      </c>
      <c r="G103" s="12" t="n">
        <v>7</v>
      </c>
      <c r="H103" s="12" t="n">
        <v>97</v>
      </c>
      <c r="I103" s="12" t="n">
        <f aca="false">INDEX('Tiendas por tramo'!$C$5:$C$10,MATCH(E103,'Tiendas por tramo'!$A$5:$A$10,0))</f>
        <v>12</v>
      </c>
      <c r="J103" s="13" t="n">
        <f aca="false">IFERROR(H103/I103,"")</f>
        <v>8.08333333333333</v>
      </c>
      <c r="K103" s="14" t="n">
        <f aca="false">IFERROR(J103/G103,"")</f>
        <v>1.1547619047619</v>
      </c>
      <c r="L103" s="11" t="str">
        <f aca="false">IF(K103&lt;1,"⚠ revisar stock","")</f>
        <v/>
      </c>
    </row>
    <row r="104" customFormat="false" ht="15" hidden="false" customHeight="true" outlineLevel="0" collapsed="false">
      <c r="A104" s="11" t="s">
        <v>301</v>
      </c>
      <c r="B104" s="11" t="s">
        <v>302</v>
      </c>
      <c r="C104" s="11" t="s">
        <v>303</v>
      </c>
      <c r="D104" s="11" t="s">
        <v>43</v>
      </c>
      <c r="E104" s="11" t="s">
        <v>26</v>
      </c>
      <c r="F104" s="11" t="s">
        <v>96</v>
      </c>
      <c r="G104" s="12" t="n">
        <v>7</v>
      </c>
      <c r="H104" s="12" t="n">
        <v>31</v>
      </c>
      <c r="I104" s="12" t="n">
        <f aca="false">INDEX('Tiendas por tramo'!$C$5:$C$10,MATCH(E104,'Tiendas por tramo'!$A$5:$A$10,0))</f>
        <v>4</v>
      </c>
      <c r="J104" s="13" t="n">
        <f aca="false">IFERROR(H104/I104,"")</f>
        <v>7.75</v>
      </c>
      <c r="K104" s="14" t="n">
        <f aca="false">IFERROR(J104/G104,"")</f>
        <v>1.10714285714286</v>
      </c>
      <c r="L104" s="11" t="str">
        <f aca="false">IF(K104&lt;1,"⚠ revisar stock","")</f>
        <v/>
      </c>
    </row>
    <row r="105" customFormat="false" ht="15" hidden="false" customHeight="true" outlineLevel="0" collapsed="false">
      <c r="A105" s="11" t="s">
        <v>301</v>
      </c>
      <c r="B105" s="11" t="s">
        <v>304</v>
      </c>
      <c r="C105" s="11" t="s">
        <v>305</v>
      </c>
      <c r="D105" s="11" t="s">
        <v>45</v>
      </c>
      <c r="E105" s="11" t="s">
        <v>30</v>
      </c>
      <c r="F105" s="11" t="s">
        <v>96</v>
      </c>
      <c r="G105" s="12" t="n">
        <v>7</v>
      </c>
      <c r="H105" s="12" t="n">
        <v>34</v>
      </c>
      <c r="I105" s="12" t="n">
        <f aca="false">INDEX('Tiendas por tramo'!$C$5:$C$10,MATCH(E105,'Tiendas por tramo'!$A$5:$A$10,0))</f>
        <v>7</v>
      </c>
      <c r="J105" s="13" t="n">
        <f aca="false">IFERROR(H105/I105,"")</f>
        <v>4.85714285714286</v>
      </c>
      <c r="K105" s="14" t="n">
        <f aca="false">IFERROR(J105/G105,"")</f>
        <v>0.693877551020408</v>
      </c>
      <c r="L105" s="11" t="str">
        <f aca="false">IF(K105&lt;1,"⚠ revisar stock","")</f>
        <v>⚠ revisar stock</v>
      </c>
    </row>
    <row r="106" customFormat="false" ht="15" hidden="false" customHeight="true" outlineLevel="0" collapsed="false">
      <c r="A106" s="11" t="s">
        <v>301</v>
      </c>
      <c r="B106" s="11" t="s">
        <v>306</v>
      </c>
      <c r="C106" s="11" t="s">
        <v>307</v>
      </c>
      <c r="D106" s="11" t="s">
        <v>45</v>
      </c>
      <c r="E106" s="11" t="s">
        <v>30</v>
      </c>
      <c r="F106" s="11" t="s">
        <v>96</v>
      </c>
      <c r="G106" s="12" t="n">
        <v>7</v>
      </c>
      <c r="H106" s="12" t="n">
        <v>49</v>
      </c>
      <c r="I106" s="12" t="n">
        <f aca="false">INDEX('Tiendas por tramo'!$C$5:$C$10,MATCH(E106,'Tiendas por tramo'!$A$5:$A$10,0))</f>
        <v>7</v>
      </c>
      <c r="J106" s="13" t="n">
        <f aca="false">IFERROR(H106/I106,"")</f>
        <v>7</v>
      </c>
      <c r="K106" s="14" t="n">
        <f aca="false">IFERROR(J106/G106,"")</f>
        <v>1</v>
      </c>
      <c r="L106" s="11" t="str">
        <f aca="false">IF(K106&lt;1,"⚠ revisar stock","")</f>
        <v/>
      </c>
    </row>
    <row r="107" customFormat="false" ht="15" hidden="false" customHeight="true" outlineLevel="0" collapsed="false">
      <c r="A107" s="11" t="s">
        <v>301</v>
      </c>
      <c r="B107" s="11" t="s">
        <v>308</v>
      </c>
      <c r="C107" s="11" t="s">
        <v>309</v>
      </c>
      <c r="D107" s="11" t="s">
        <v>47</v>
      </c>
      <c r="E107" s="11" t="s">
        <v>34</v>
      </c>
      <c r="F107" s="11" t="s">
        <v>99</v>
      </c>
      <c r="G107" s="12" t="n">
        <v>7</v>
      </c>
      <c r="H107" s="12" t="n">
        <v>31</v>
      </c>
      <c r="I107" s="12" t="n">
        <f aca="false">INDEX('Tiendas por tramo'!$C$5:$C$10,MATCH(E107,'Tiendas por tramo'!$A$5:$A$10,0))</f>
        <v>3</v>
      </c>
      <c r="J107" s="13" t="n">
        <f aca="false">IFERROR(H107/I107,"")</f>
        <v>10.3333333333333</v>
      </c>
      <c r="K107" s="14" t="n">
        <f aca="false">IFERROR(J107/G107,"")</f>
        <v>1.47619047619048</v>
      </c>
      <c r="L107" s="11" t="str">
        <f aca="false">IF(K107&lt;1,"⚠ revisar stock","")</f>
        <v/>
      </c>
    </row>
    <row r="108" customFormat="false" ht="15" hidden="false" customHeight="true" outlineLevel="0" collapsed="false">
      <c r="A108" s="11" t="s">
        <v>301</v>
      </c>
      <c r="B108" s="11" t="s">
        <v>310</v>
      </c>
      <c r="C108" s="11" t="s">
        <v>311</v>
      </c>
      <c r="D108" s="11" t="s">
        <v>47</v>
      </c>
      <c r="E108" s="11" t="s">
        <v>34</v>
      </c>
      <c r="F108" s="11" t="s">
        <v>96</v>
      </c>
      <c r="G108" s="12" t="n">
        <v>7</v>
      </c>
      <c r="H108" s="12" t="n">
        <v>52</v>
      </c>
      <c r="I108" s="12" t="n">
        <f aca="false">INDEX('Tiendas por tramo'!$C$5:$C$10,MATCH(E108,'Tiendas por tramo'!$A$5:$A$10,0))</f>
        <v>3</v>
      </c>
      <c r="J108" s="13" t="n">
        <f aca="false">IFERROR(H108/I108,"")</f>
        <v>17.3333333333333</v>
      </c>
      <c r="K108" s="14" t="n">
        <f aca="false">IFERROR(J108/G108,"")</f>
        <v>2.47619047619048</v>
      </c>
      <c r="L108" s="11" t="str">
        <f aca="false">IF(K108&lt;1,"⚠ revisar stock","")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38"/>
    <col collapsed="false" customWidth="true" hidden="false" outlineLevel="0" max="5" min="5" style="1" width="13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9" t="s">
        <v>312</v>
      </c>
    </row>
    <row r="2" customFormat="false" ht="15" hidden="false" customHeight="true" outlineLevel="0" collapsed="false">
      <c r="A2" s="3" t="s">
        <v>313</v>
      </c>
    </row>
    <row r="3" customFormat="false" ht="15" hidden="false" customHeight="true" outlineLevel="0" collapsed="false">
      <c r="A3" s="15" t="s">
        <v>314</v>
      </c>
    </row>
    <row r="5" customFormat="false" ht="34.5" hidden="false" customHeight="true" outlineLevel="0" collapsed="false">
      <c r="A5" s="10" t="s">
        <v>83</v>
      </c>
      <c r="B5" s="10" t="s">
        <v>315</v>
      </c>
      <c r="C5" s="10" t="s">
        <v>316</v>
      </c>
      <c r="D5" s="10" t="s">
        <v>25</v>
      </c>
      <c r="E5" s="10" t="s">
        <v>317</v>
      </c>
      <c r="F5" s="10" t="s">
        <v>318</v>
      </c>
      <c r="G5" s="10" t="s">
        <v>319</v>
      </c>
      <c r="H5" s="10" t="s">
        <v>320</v>
      </c>
    </row>
    <row r="6" customFormat="false" ht="15" hidden="false" customHeight="true" outlineLevel="0" collapsed="false">
      <c r="A6" s="11" t="s">
        <v>93</v>
      </c>
      <c r="B6" s="11" t="s">
        <v>321</v>
      </c>
      <c r="C6" s="11" t="s">
        <v>322</v>
      </c>
      <c r="D6" s="11" t="s">
        <v>323</v>
      </c>
      <c r="E6" s="11"/>
      <c r="F6" s="16" t="s">
        <v>324</v>
      </c>
      <c r="G6" s="16" t="s">
        <v>28</v>
      </c>
      <c r="H6" s="16" t="s">
        <v>325</v>
      </c>
    </row>
    <row r="7" customFormat="false" ht="15" hidden="false" customHeight="true" outlineLevel="0" collapsed="false">
      <c r="A7" s="11" t="s">
        <v>93</v>
      </c>
      <c r="B7" s="11" t="s">
        <v>321</v>
      </c>
      <c r="C7" s="11" t="s">
        <v>326</v>
      </c>
      <c r="D7" s="11" t="s">
        <v>327</v>
      </c>
      <c r="E7" s="11"/>
      <c r="F7" s="17" t="s">
        <v>328</v>
      </c>
      <c r="G7" s="17" t="s">
        <v>28</v>
      </c>
      <c r="H7" s="17" t="s">
        <v>329</v>
      </c>
    </row>
    <row r="8" customFormat="false" ht="15" hidden="false" customHeight="true" outlineLevel="0" collapsed="false">
      <c r="A8" s="11" t="s">
        <v>93</v>
      </c>
      <c r="B8" s="11" t="s">
        <v>321</v>
      </c>
      <c r="C8" s="11" t="s">
        <v>330</v>
      </c>
      <c r="D8" s="11" t="s">
        <v>331</v>
      </c>
      <c r="E8" s="11"/>
      <c r="F8" s="17" t="s">
        <v>328</v>
      </c>
      <c r="G8" s="17" t="s">
        <v>28</v>
      </c>
      <c r="H8" s="17" t="s">
        <v>329</v>
      </c>
    </row>
    <row r="9" customFormat="false" ht="15" hidden="false" customHeight="true" outlineLevel="0" collapsed="false">
      <c r="A9" s="11" t="s">
        <v>93</v>
      </c>
      <c r="B9" s="11" t="s">
        <v>321</v>
      </c>
      <c r="C9" s="11" t="s">
        <v>332</v>
      </c>
      <c r="D9" s="11" t="s">
        <v>333</v>
      </c>
      <c r="E9" s="11"/>
      <c r="F9" s="16" t="s">
        <v>328</v>
      </c>
      <c r="G9" s="16" t="s">
        <v>28</v>
      </c>
      <c r="H9" s="16" t="s">
        <v>325</v>
      </c>
    </row>
    <row r="10" customFormat="false" ht="15" hidden="false" customHeight="true" outlineLevel="0" collapsed="false">
      <c r="A10" s="11" t="s">
        <v>93</v>
      </c>
      <c r="B10" s="11" t="s">
        <v>321</v>
      </c>
      <c r="C10" s="11" t="s">
        <v>334</v>
      </c>
      <c r="D10" s="11" t="s">
        <v>335</v>
      </c>
      <c r="E10" s="11"/>
      <c r="F10" s="16" t="s">
        <v>328</v>
      </c>
      <c r="G10" s="16" t="s">
        <v>28</v>
      </c>
      <c r="H10" s="16" t="s">
        <v>325</v>
      </c>
    </row>
    <row r="11" customFormat="false" ht="15" hidden="false" customHeight="true" outlineLevel="0" collapsed="false">
      <c r="A11" s="11" t="s">
        <v>93</v>
      </c>
      <c r="B11" s="11" t="s">
        <v>321</v>
      </c>
      <c r="C11" s="11" t="s">
        <v>336</v>
      </c>
      <c r="D11" s="11" t="s">
        <v>337</v>
      </c>
      <c r="E11" s="11"/>
      <c r="F11" s="16" t="s">
        <v>328</v>
      </c>
      <c r="G11" s="16" t="s">
        <v>28</v>
      </c>
      <c r="H11" s="16" t="s">
        <v>325</v>
      </c>
    </row>
    <row r="12" customFormat="false" ht="15" hidden="false" customHeight="true" outlineLevel="0" collapsed="false">
      <c r="A12" s="11" t="s">
        <v>93</v>
      </c>
      <c r="B12" s="11" t="s">
        <v>321</v>
      </c>
      <c r="C12" s="11" t="s">
        <v>338</v>
      </c>
      <c r="D12" s="11" t="s">
        <v>339</v>
      </c>
      <c r="E12" s="11"/>
      <c r="F12" s="17" t="s">
        <v>340</v>
      </c>
      <c r="G12" s="17" t="s">
        <v>28</v>
      </c>
      <c r="H12" s="17" t="s">
        <v>329</v>
      </c>
    </row>
    <row r="13" customFormat="false" ht="15" hidden="false" customHeight="true" outlineLevel="0" collapsed="false">
      <c r="A13" s="11" t="s">
        <v>93</v>
      </c>
      <c r="B13" s="11" t="s">
        <v>321</v>
      </c>
      <c r="C13" s="11" t="s">
        <v>341</v>
      </c>
      <c r="D13" s="11" t="s">
        <v>342</v>
      </c>
      <c r="E13" s="11"/>
      <c r="F13" s="17" t="s">
        <v>340</v>
      </c>
      <c r="G13" s="17" t="s">
        <v>28</v>
      </c>
      <c r="H13" s="17" t="s">
        <v>329</v>
      </c>
    </row>
    <row r="14" customFormat="false" ht="15" hidden="false" customHeight="true" outlineLevel="0" collapsed="false">
      <c r="A14" s="11" t="s">
        <v>93</v>
      </c>
      <c r="B14" s="11" t="s">
        <v>321</v>
      </c>
      <c r="C14" s="11" t="s">
        <v>343</v>
      </c>
      <c r="D14" s="11" t="s">
        <v>344</v>
      </c>
      <c r="E14" s="11"/>
      <c r="F14" s="17" t="s">
        <v>340</v>
      </c>
      <c r="G14" s="17" t="s">
        <v>28</v>
      </c>
      <c r="H14" s="17" t="s">
        <v>329</v>
      </c>
    </row>
    <row r="15" customFormat="false" ht="15" hidden="false" customHeight="true" outlineLevel="0" collapsed="false">
      <c r="A15" s="11" t="s">
        <v>93</v>
      </c>
      <c r="B15" s="11" t="s">
        <v>321</v>
      </c>
      <c r="C15" s="11" t="s">
        <v>345</v>
      </c>
      <c r="D15" s="11" t="s">
        <v>346</v>
      </c>
      <c r="E15" s="11"/>
      <c r="F15" s="17" t="s">
        <v>347</v>
      </c>
      <c r="G15" s="17" t="s">
        <v>34</v>
      </c>
      <c r="H15" s="17" t="s">
        <v>329</v>
      </c>
    </row>
    <row r="16" customFormat="false" ht="15" hidden="false" customHeight="true" outlineLevel="0" collapsed="false">
      <c r="A16" s="11" t="s">
        <v>93</v>
      </c>
      <c r="B16" s="11" t="s">
        <v>348</v>
      </c>
      <c r="C16" s="11" t="s">
        <v>349</v>
      </c>
      <c r="D16" s="11" t="s">
        <v>350</v>
      </c>
      <c r="E16" s="11"/>
      <c r="F16" s="16" t="s">
        <v>328</v>
      </c>
      <c r="G16" s="16" t="s">
        <v>28</v>
      </c>
      <c r="H16" s="16" t="s">
        <v>325</v>
      </c>
    </row>
    <row r="17" customFormat="false" ht="15" hidden="false" customHeight="true" outlineLevel="0" collapsed="false">
      <c r="A17" s="11" t="s">
        <v>93</v>
      </c>
      <c r="B17" s="11" t="s">
        <v>348</v>
      </c>
      <c r="C17" s="11" t="s">
        <v>351</v>
      </c>
      <c r="D17" s="11" t="s">
        <v>352</v>
      </c>
      <c r="E17" s="11"/>
      <c r="F17" s="17" t="s">
        <v>353</v>
      </c>
      <c r="G17" s="17" t="s">
        <v>36</v>
      </c>
      <c r="H17" s="17" t="s">
        <v>329</v>
      </c>
    </row>
    <row r="18" customFormat="false" ht="15" hidden="false" customHeight="true" outlineLevel="0" collapsed="false">
      <c r="A18" s="11" t="s">
        <v>93</v>
      </c>
      <c r="B18" s="11" t="s">
        <v>348</v>
      </c>
      <c r="C18" s="11" t="s">
        <v>354</v>
      </c>
      <c r="D18" s="11" t="s">
        <v>355</v>
      </c>
      <c r="E18" s="11"/>
      <c r="F18" s="17" t="s">
        <v>340</v>
      </c>
      <c r="G18" s="17" t="s">
        <v>28</v>
      </c>
      <c r="H18" s="17" t="s">
        <v>329</v>
      </c>
    </row>
    <row r="19" customFormat="false" ht="15" hidden="false" customHeight="true" outlineLevel="0" collapsed="false">
      <c r="A19" s="11" t="s">
        <v>93</v>
      </c>
      <c r="B19" s="11" t="s">
        <v>348</v>
      </c>
      <c r="C19" s="11" t="s">
        <v>356</v>
      </c>
      <c r="D19" s="11" t="s">
        <v>357</v>
      </c>
      <c r="E19" s="11"/>
      <c r="F19" s="17" t="s">
        <v>340</v>
      </c>
      <c r="G19" s="17" t="s">
        <v>28</v>
      </c>
      <c r="H19" s="17" t="s">
        <v>329</v>
      </c>
    </row>
    <row r="20" customFormat="false" ht="15" hidden="false" customHeight="true" outlineLevel="0" collapsed="false">
      <c r="A20" s="11" t="s">
        <v>93</v>
      </c>
      <c r="B20" s="11" t="s">
        <v>348</v>
      </c>
      <c r="C20" s="11" t="s">
        <v>358</v>
      </c>
      <c r="D20" s="11" t="s">
        <v>359</v>
      </c>
      <c r="E20" s="11"/>
      <c r="F20" s="18" t="s">
        <v>360</v>
      </c>
      <c r="G20" s="18"/>
      <c r="H20" s="18" t="s">
        <v>361</v>
      </c>
    </row>
    <row r="21" customFormat="false" ht="15" hidden="false" customHeight="true" outlineLevel="0" collapsed="false">
      <c r="A21" s="11" t="s">
        <v>93</v>
      </c>
      <c r="B21" s="11" t="s">
        <v>362</v>
      </c>
      <c r="C21" s="11" t="s">
        <v>363</v>
      </c>
      <c r="D21" s="11" t="s">
        <v>364</v>
      </c>
      <c r="E21" s="11"/>
      <c r="F21" s="16" t="s">
        <v>324</v>
      </c>
      <c r="G21" s="16" t="s">
        <v>28</v>
      </c>
      <c r="H21" s="16" t="s">
        <v>325</v>
      </c>
    </row>
    <row r="22" customFormat="false" ht="15" hidden="false" customHeight="true" outlineLevel="0" collapsed="false">
      <c r="A22" s="11" t="s">
        <v>93</v>
      </c>
      <c r="B22" s="11" t="s">
        <v>362</v>
      </c>
      <c r="C22" s="11" t="s">
        <v>365</v>
      </c>
      <c r="D22" s="11" t="s">
        <v>366</v>
      </c>
      <c r="E22" s="11"/>
      <c r="F22" s="16" t="s">
        <v>324</v>
      </c>
      <c r="G22" s="16" t="s">
        <v>28</v>
      </c>
      <c r="H22" s="16" t="s">
        <v>325</v>
      </c>
    </row>
    <row r="23" customFormat="false" ht="15" hidden="false" customHeight="true" outlineLevel="0" collapsed="false">
      <c r="A23" s="11" t="s">
        <v>93</v>
      </c>
      <c r="B23" s="11" t="s">
        <v>362</v>
      </c>
      <c r="C23" s="11" t="s">
        <v>367</v>
      </c>
      <c r="D23" s="11" t="s">
        <v>368</v>
      </c>
      <c r="E23" s="11"/>
      <c r="F23" s="16" t="s">
        <v>324</v>
      </c>
      <c r="G23" s="16" t="s">
        <v>28</v>
      </c>
      <c r="H23" s="16" t="s">
        <v>325</v>
      </c>
    </row>
    <row r="24" customFormat="false" ht="15" hidden="false" customHeight="true" outlineLevel="0" collapsed="false">
      <c r="A24" s="11" t="s">
        <v>93</v>
      </c>
      <c r="B24" s="11" t="s">
        <v>362</v>
      </c>
      <c r="C24" s="11" t="s">
        <v>369</v>
      </c>
      <c r="D24" s="11" t="s">
        <v>370</v>
      </c>
      <c r="E24" s="11"/>
      <c r="F24" s="16" t="s">
        <v>328</v>
      </c>
      <c r="G24" s="16" t="s">
        <v>28</v>
      </c>
      <c r="H24" s="16" t="s">
        <v>325</v>
      </c>
    </row>
    <row r="25" customFormat="false" ht="15" hidden="false" customHeight="true" outlineLevel="0" collapsed="false">
      <c r="A25" s="11" t="s">
        <v>93</v>
      </c>
      <c r="B25" s="11" t="s">
        <v>362</v>
      </c>
      <c r="C25" s="11" t="s">
        <v>371</v>
      </c>
      <c r="D25" s="11" t="s">
        <v>372</v>
      </c>
      <c r="E25" s="11"/>
      <c r="F25" s="16" t="s">
        <v>328</v>
      </c>
      <c r="G25" s="16" t="s">
        <v>28</v>
      </c>
      <c r="H25" s="16" t="s">
        <v>325</v>
      </c>
    </row>
    <row r="26" customFormat="false" ht="15" hidden="false" customHeight="true" outlineLevel="0" collapsed="false">
      <c r="A26" s="11" t="s">
        <v>93</v>
      </c>
      <c r="B26" s="11" t="s">
        <v>362</v>
      </c>
      <c r="C26" s="11" t="s">
        <v>373</v>
      </c>
      <c r="D26" s="11" t="s">
        <v>374</v>
      </c>
      <c r="E26" s="11"/>
      <c r="F26" s="16" t="s">
        <v>375</v>
      </c>
      <c r="G26" s="16" t="s">
        <v>26</v>
      </c>
      <c r="H26" s="16" t="s">
        <v>376</v>
      </c>
    </row>
    <row r="27" customFormat="false" ht="15" hidden="false" customHeight="true" outlineLevel="0" collapsed="false">
      <c r="A27" s="11" t="s">
        <v>93</v>
      </c>
      <c r="B27" s="11" t="s">
        <v>362</v>
      </c>
      <c r="C27" s="11" t="s">
        <v>377</v>
      </c>
      <c r="D27" s="11" t="s">
        <v>378</v>
      </c>
      <c r="E27" s="11"/>
      <c r="F27" s="17" t="s">
        <v>340</v>
      </c>
      <c r="G27" s="17" t="s">
        <v>28</v>
      </c>
      <c r="H27" s="17" t="s">
        <v>329</v>
      </c>
    </row>
    <row r="28" customFormat="false" ht="15" hidden="false" customHeight="true" outlineLevel="0" collapsed="false">
      <c r="A28" s="11" t="s">
        <v>93</v>
      </c>
      <c r="B28" s="11" t="s">
        <v>362</v>
      </c>
      <c r="C28" s="11" t="s">
        <v>379</v>
      </c>
      <c r="D28" s="11" t="s">
        <v>380</v>
      </c>
      <c r="E28" s="11"/>
      <c r="F28" s="17" t="s">
        <v>340</v>
      </c>
      <c r="G28" s="17" t="s">
        <v>28</v>
      </c>
      <c r="H28" s="17" t="s">
        <v>329</v>
      </c>
    </row>
    <row r="29" customFormat="false" ht="15" hidden="false" customHeight="true" outlineLevel="0" collapsed="false">
      <c r="A29" s="11" t="s">
        <v>93</v>
      </c>
      <c r="B29" s="11" t="s">
        <v>362</v>
      </c>
      <c r="C29" s="11" t="s">
        <v>381</v>
      </c>
      <c r="D29" s="11" t="s">
        <v>382</v>
      </c>
      <c r="E29" s="11"/>
      <c r="F29" s="18" t="s">
        <v>360</v>
      </c>
      <c r="G29" s="18"/>
      <c r="H29" s="18" t="s">
        <v>383</v>
      </c>
    </row>
    <row r="30" customFormat="false" ht="15" hidden="false" customHeight="true" outlineLevel="0" collapsed="false">
      <c r="A30" s="11" t="s">
        <v>148</v>
      </c>
      <c r="B30" s="11" t="s">
        <v>321</v>
      </c>
      <c r="C30" s="11" t="s">
        <v>384</v>
      </c>
      <c r="D30" s="11" t="s">
        <v>385</v>
      </c>
      <c r="E30" s="11" t="s">
        <v>386</v>
      </c>
      <c r="F30" s="17" t="s">
        <v>387</v>
      </c>
      <c r="G30" s="17" t="s">
        <v>28</v>
      </c>
      <c r="H30" s="17" t="s">
        <v>388</v>
      </c>
    </row>
    <row r="31" customFormat="false" ht="15" hidden="false" customHeight="true" outlineLevel="0" collapsed="false">
      <c r="A31" s="11" t="s">
        <v>148</v>
      </c>
      <c r="B31" s="11" t="s">
        <v>321</v>
      </c>
      <c r="C31" s="11" t="s">
        <v>389</v>
      </c>
      <c r="D31" s="11" t="s">
        <v>390</v>
      </c>
      <c r="E31" s="11" t="s">
        <v>386</v>
      </c>
      <c r="F31" s="16" t="s">
        <v>387</v>
      </c>
      <c r="G31" s="16" t="s">
        <v>28</v>
      </c>
      <c r="H31" s="16" t="s">
        <v>391</v>
      </c>
    </row>
    <row r="32" customFormat="false" ht="15" hidden="false" customHeight="true" outlineLevel="0" collapsed="false">
      <c r="A32" s="11" t="s">
        <v>148</v>
      </c>
      <c r="B32" s="11" t="s">
        <v>348</v>
      </c>
      <c r="C32" s="11" t="s">
        <v>392</v>
      </c>
      <c r="D32" s="11" t="s">
        <v>393</v>
      </c>
      <c r="E32" s="11" t="s">
        <v>394</v>
      </c>
      <c r="F32" s="17" t="s">
        <v>395</v>
      </c>
      <c r="G32" s="17" t="s">
        <v>34</v>
      </c>
      <c r="H32" s="17" t="s">
        <v>329</v>
      </c>
    </row>
    <row r="33" customFormat="false" ht="15" hidden="false" customHeight="true" outlineLevel="0" collapsed="false">
      <c r="A33" s="11" t="s">
        <v>148</v>
      </c>
      <c r="B33" s="11" t="s">
        <v>348</v>
      </c>
      <c r="C33" s="11" t="s">
        <v>396</v>
      </c>
      <c r="D33" s="11" t="s">
        <v>397</v>
      </c>
      <c r="E33" s="11" t="s">
        <v>394</v>
      </c>
      <c r="F33" s="17" t="s">
        <v>398</v>
      </c>
      <c r="G33" s="17" t="s">
        <v>28</v>
      </c>
      <c r="H33" s="17" t="s">
        <v>399</v>
      </c>
    </row>
    <row r="34" customFormat="false" ht="15" hidden="false" customHeight="true" outlineLevel="0" collapsed="false">
      <c r="A34" s="11" t="s">
        <v>163</v>
      </c>
      <c r="B34" s="11" t="s">
        <v>362</v>
      </c>
      <c r="C34" s="11" t="s">
        <v>400</v>
      </c>
      <c r="D34" s="11" t="s">
        <v>401</v>
      </c>
      <c r="E34" s="11" t="s">
        <v>394</v>
      </c>
      <c r="F34" s="17" t="s">
        <v>402</v>
      </c>
      <c r="G34" s="17" t="s">
        <v>30</v>
      </c>
      <c r="H34" s="17" t="s">
        <v>403</v>
      </c>
    </row>
    <row r="35" customFormat="false" ht="15" hidden="false" customHeight="true" outlineLevel="0" collapsed="false">
      <c r="A35" s="11" t="s">
        <v>163</v>
      </c>
      <c r="B35" s="11" t="s">
        <v>362</v>
      </c>
      <c r="C35" s="11" t="s">
        <v>404</v>
      </c>
      <c r="D35" s="11" t="s">
        <v>405</v>
      </c>
      <c r="E35" s="11" t="s">
        <v>394</v>
      </c>
      <c r="F35" s="18" t="s">
        <v>402</v>
      </c>
      <c r="G35" s="18" t="s">
        <v>30</v>
      </c>
      <c r="H35" s="18" t="s">
        <v>406</v>
      </c>
    </row>
    <row r="36" customFormat="false" ht="15" hidden="false" customHeight="true" outlineLevel="0" collapsed="false">
      <c r="A36" s="11" t="s">
        <v>196</v>
      </c>
      <c r="B36" s="11" t="s">
        <v>348</v>
      </c>
      <c r="C36" s="11" t="s">
        <v>407</v>
      </c>
      <c r="D36" s="11" t="s">
        <v>408</v>
      </c>
      <c r="E36" s="11" t="s">
        <v>394</v>
      </c>
      <c r="F36" s="16" t="s">
        <v>409</v>
      </c>
      <c r="G36" s="16" t="s">
        <v>28</v>
      </c>
      <c r="H36" s="16" t="s">
        <v>325</v>
      </c>
    </row>
    <row r="37" customFormat="false" ht="15" hidden="false" customHeight="true" outlineLevel="0" collapsed="false">
      <c r="A37" s="11" t="s">
        <v>196</v>
      </c>
      <c r="B37" s="11" t="s">
        <v>348</v>
      </c>
      <c r="C37" s="11" t="s">
        <v>410</v>
      </c>
      <c r="D37" s="11" t="s">
        <v>411</v>
      </c>
      <c r="E37" s="11" t="s">
        <v>394</v>
      </c>
      <c r="F37" s="17" t="s">
        <v>412</v>
      </c>
      <c r="G37" s="17" t="s">
        <v>28</v>
      </c>
      <c r="H37" s="17" t="s">
        <v>329</v>
      </c>
    </row>
    <row r="38" customFormat="false" ht="15" hidden="false" customHeight="true" outlineLevel="0" collapsed="false">
      <c r="A38" s="11" t="s">
        <v>196</v>
      </c>
      <c r="B38" s="11" t="s">
        <v>348</v>
      </c>
      <c r="C38" s="11" t="s">
        <v>413</v>
      </c>
      <c r="D38" s="11" t="s">
        <v>414</v>
      </c>
      <c r="E38" s="11" t="s">
        <v>394</v>
      </c>
      <c r="F38" s="16" t="s">
        <v>412</v>
      </c>
      <c r="G38" s="16" t="s">
        <v>28</v>
      </c>
      <c r="H38" s="16" t="s">
        <v>325</v>
      </c>
    </row>
    <row r="39" customFormat="false" ht="15" hidden="false" customHeight="true" outlineLevel="0" collapsed="false">
      <c r="A39" s="11" t="s">
        <v>196</v>
      </c>
      <c r="B39" s="11" t="s">
        <v>348</v>
      </c>
      <c r="C39" s="11" t="s">
        <v>415</v>
      </c>
      <c r="D39" s="11" t="s">
        <v>416</v>
      </c>
      <c r="E39" s="11" t="s">
        <v>394</v>
      </c>
      <c r="F39" s="16" t="s">
        <v>412</v>
      </c>
      <c r="G39" s="16" t="s">
        <v>28</v>
      </c>
      <c r="H39" s="16" t="s">
        <v>325</v>
      </c>
    </row>
    <row r="40" customFormat="false" ht="15" hidden="false" customHeight="true" outlineLevel="0" collapsed="false">
      <c r="A40" s="11" t="s">
        <v>196</v>
      </c>
      <c r="B40" s="11" t="s">
        <v>348</v>
      </c>
      <c r="C40" s="11" t="s">
        <v>417</v>
      </c>
      <c r="D40" s="11" t="s">
        <v>418</v>
      </c>
      <c r="E40" s="11" t="s">
        <v>394</v>
      </c>
      <c r="F40" s="16" t="s">
        <v>412</v>
      </c>
      <c r="G40" s="16" t="s">
        <v>28</v>
      </c>
      <c r="H40" s="16" t="s">
        <v>325</v>
      </c>
    </row>
    <row r="41" customFormat="false" ht="15" hidden="false" customHeight="true" outlineLevel="0" collapsed="false">
      <c r="A41" s="11" t="s">
        <v>196</v>
      </c>
      <c r="B41" s="11" t="s">
        <v>348</v>
      </c>
      <c r="C41" s="11" t="s">
        <v>419</v>
      </c>
      <c r="D41" s="11" t="s">
        <v>420</v>
      </c>
      <c r="E41" s="11" t="s">
        <v>394</v>
      </c>
      <c r="F41" s="17" t="s">
        <v>421</v>
      </c>
      <c r="G41" s="17" t="s">
        <v>28</v>
      </c>
      <c r="H41" s="17" t="s">
        <v>329</v>
      </c>
    </row>
    <row r="42" customFormat="false" ht="15" hidden="false" customHeight="true" outlineLevel="0" collapsed="false">
      <c r="A42" s="11" t="s">
        <v>196</v>
      </c>
      <c r="B42" s="11" t="s">
        <v>348</v>
      </c>
      <c r="C42" s="11" t="s">
        <v>422</v>
      </c>
      <c r="D42" s="11" t="s">
        <v>423</v>
      </c>
      <c r="E42" s="11" t="s">
        <v>394</v>
      </c>
      <c r="F42" s="17" t="s">
        <v>421</v>
      </c>
      <c r="G42" s="17" t="s">
        <v>28</v>
      </c>
      <c r="H42" s="17" t="s">
        <v>329</v>
      </c>
    </row>
    <row r="43" customFormat="false" ht="15" hidden="false" customHeight="true" outlineLevel="0" collapsed="false">
      <c r="A43" s="11" t="s">
        <v>277</v>
      </c>
      <c r="B43" s="11" t="s">
        <v>348</v>
      </c>
      <c r="C43" s="11" t="s">
        <v>424</v>
      </c>
      <c r="D43" s="11" t="s">
        <v>425</v>
      </c>
      <c r="E43" s="11" t="s">
        <v>394</v>
      </c>
      <c r="F43" s="17" t="s">
        <v>426</v>
      </c>
      <c r="G43" s="17" t="s">
        <v>28</v>
      </c>
      <c r="H43" s="17" t="s">
        <v>329</v>
      </c>
    </row>
    <row r="44" customFormat="false" ht="15" hidden="false" customHeight="true" outlineLevel="0" collapsed="false">
      <c r="A44" s="11" t="s">
        <v>277</v>
      </c>
      <c r="B44" s="11" t="s">
        <v>348</v>
      </c>
      <c r="C44" s="11" t="s">
        <v>427</v>
      </c>
      <c r="D44" s="11" t="s">
        <v>428</v>
      </c>
      <c r="E44" s="11" t="s">
        <v>394</v>
      </c>
      <c r="F44" s="16" t="s">
        <v>429</v>
      </c>
      <c r="G44" s="16" t="s">
        <v>36</v>
      </c>
      <c r="H44" s="16" t="s">
        <v>430</v>
      </c>
    </row>
    <row r="45" customFormat="false" ht="15" hidden="false" customHeight="true" outlineLevel="0" collapsed="false">
      <c r="A45" s="11" t="s">
        <v>277</v>
      </c>
      <c r="B45" s="11" t="s">
        <v>348</v>
      </c>
      <c r="C45" s="11" t="s">
        <v>431</v>
      </c>
      <c r="D45" s="11" t="s">
        <v>432</v>
      </c>
      <c r="E45" s="11" t="s">
        <v>394</v>
      </c>
      <c r="F45" s="17" t="s">
        <v>433</v>
      </c>
      <c r="G45" s="17" t="s">
        <v>28</v>
      </c>
      <c r="H45" s="17" t="s">
        <v>434</v>
      </c>
    </row>
    <row r="46" customFormat="false" ht="15" hidden="false" customHeight="true" outlineLevel="0" collapsed="false">
      <c r="A46" s="11" t="s">
        <v>290</v>
      </c>
      <c r="B46" s="11" t="s">
        <v>321</v>
      </c>
      <c r="C46" s="11" t="s">
        <v>435</v>
      </c>
      <c r="D46" s="11" t="s">
        <v>436</v>
      </c>
      <c r="E46" s="11" t="s">
        <v>386</v>
      </c>
      <c r="F46" s="17" t="s">
        <v>437</v>
      </c>
      <c r="G46" s="17" t="s">
        <v>30</v>
      </c>
      <c r="H46" s="17" t="s">
        <v>438</v>
      </c>
    </row>
    <row r="47" customFormat="false" ht="15" hidden="false" customHeight="true" outlineLevel="0" collapsed="false">
      <c r="A47" s="11" t="s">
        <v>290</v>
      </c>
      <c r="B47" s="11" t="s">
        <v>321</v>
      </c>
      <c r="C47" s="11" t="s">
        <v>439</v>
      </c>
      <c r="D47" s="11" t="s">
        <v>440</v>
      </c>
      <c r="E47" s="11" t="s">
        <v>386</v>
      </c>
      <c r="F47" s="17" t="s">
        <v>437</v>
      </c>
      <c r="G47" s="17" t="s">
        <v>30</v>
      </c>
      <c r="H47" s="17" t="s">
        <v>438</v>
      </c>
    </row>
    <row r="48" customFormat="false" ht="15" hidden="false" customHeight="true" outlineLevel="0" collapsed="false">
      <c r="A48" s="11" t="s">
        <v>290</v>
      </c>
      <c r="B48" s="11" t="s">
        <v>348</v>
      </c>
      <c r="C48" s="11" t="s">
        <v>441</v>
      </c>
      <c r="D48" s="11" t="s">
        <v>442</v>
      </c>
      <c r="E48" s="11" t="s">
        <v>394</v>
      </c>
      <c r="F48" s="17" t="s">
        <v>437</v>
      </c>
      <c r="G48" s="17" t="s">
        <v>30</v>
      </c>
      <c r="H48" s="17" t="s">
        <v>438</v>
      </c>
    </row>
    <row r="49" customFormat="false" ht="15" hidden="false" customHeight="true" outlineLevel="0" collapsed="false">
      <c r="A49" s="11" t="s">
        <v>290</v>
      </c>
      <c r="B49" s="11" t="s">
        <v>348</v>
      </c>
      <c r="C49" s="11" t="s">
        <v>443</v>
      </c>
      <c r="D49" s="11" t="s">
        <v>444</v>
      </c>
      <c r="E49" s="11" t="s">
        <v>394</v>
      </c>
      <c r="F49" s="17" t="s">
        <v>437</v>
      </c>
      <c r="G49" s="17" t="s">
        <v>30</v>
      </c>
      <c r="H49" s="17" t="s">
        <v>438</v>
      </c>
    </row>
    <row r="50" customFormat="false" ht="15" hidden="false" customHeight="true" outlineLevel="0" collapsed="false">
      <c r="A50" s="11" t="s">
        <v>290</v>
      </c>
      <c r="B50" s="11" t="s">
        <v>348</v>
      </c>
      <c r="C50" s="11" t="s">
        <v>445</v>
      </c>
      <c r="D50" s="11" t="s">
        <v>446</v>
      </c>
      <c r="E50" s="11" t="s">
        <v>394</v>
      </c>
      <c r="F50" s="17" t="s">
        <v>437</v>
      </c>
      <c r="G50" s="17" t="s">
        <v>30</v>
      </c>
      <c r="H50" s="17" t="s">
        <v>438</v>
      </c>
    </row>
    <row r="51" customFormat="false" ht="15" hidden="false" customHeight="true" outlineLevel="0" collapsed="false">
      <c r="A51" s="11" t="s">
        <v>290</v>
      </c>
      <c r="B51" s="11" t="s">
        <v>362</v>
      </c>
      <c r="C51" s="11" t="s">
        <v>447</v>
      </c>
      <c r="D51" s="11" t="s">
        <v>448</v>
      </c>
      <c r="E51" s="11" t="s">
        <v>386</v>
      </c>
      <c r="F51" s="17" t="s">
        <v>437</v>
      </c>
      <c r="G51" s="17" t="s">
        <v>30</v>
      </c>
      <c r="H51" s="17" t="s">
        <v>438</v>
      </c>
    </row>
    <row r="52" customFormat="false" ht="15" hidden="false" customHeight="true" outlineLevel="0" collapsed="false">
      <c r="A52" s="11" t="s">
        <v>290</v>
      </c>
      <c r="B52" s="11" t="s">
        <v>362</v>
      </c>
      <c r="C52" s="11" t="s">
        <v>449</v>
      </c>
      <c r="D52" s="11" t="s">
        <v>450</v>
      </c>
      <c r="E52" s="11" t="s">
        <v>386</v>
      </c>
      <c r="F52" s="17" t="s">
        <v>437</v>
      </c>
      <c r="G52" s="17" t="s">
        <v>30</v>
      </c>
      <c r="H52" s="17" t="s">
        <v>438</v>
      </c>
    </row>
    <row r="53" customFormat="false" ht="15" hidden="false" customHeight="true" outlineLevel="0" collapsed="false">
      <c r="A53" s="11" t="s">
        <v>290</v>
      </c>
      <c r="B53" s="11" t="s">
        <v>362</v>
      </c>
      <c r="C53" s="11" t="s">
        <v>451</v>
      </c>
      <c r="D53" s="11" t="s">
        <v>452</v>
      </c>
      <c r="E53" s="11" t="s">
        <v>386</v>
      </c>
      <c r="F53" s="17" t="s">
        <v>437</v>
      </c>
      <c r="G53" s="17" t="s">
        <v>30</v>
      </c>
      <c r="H53" s="17" t="s">
        <v>438</v>
      </c>
    </row>
    <row r="54" customFormat="false" ht="15" hidden="false" customHeight="true" outlineLevel="0" collapsed="false">
      <c r="A54" s="11" t="s">
        <v>301</v>
      </c>
      <c r="B54" s="11" t="s">
        <v>348</v>
      </c>
      <c r="C54" s="11" t="s">
        <v>453</v>
      </c>
      <c r="D54" s="11" t="s">
        <v>454</v>
      </c>
      <c r="E54" s="11" t="s">
        <v>394</v>
      </c>
      <c r="F54" s="17" t="s">
        <v>455</v>
      </c>
      <c r="G54" s="17" t="s">
        <v>26</v>
      </c>
      <c r="H54" s="17" t="s">
        <v>329</v>
      </c>
    </row>
    <row r="55" customFormat="false" ht="15" hidden="false" customHeight="true" outlineLevel="0" collapsed="false">
      <c r="A55" s="11" t="s">
        <v>301</v>
      </c>
      <c r="B55" s="11" t="s">
        <v>348</v>
      </c>
      <c r="C55" s="11" t="s">
        <v>456</v>
      </c>
      <c r="D55" s="11" t="s">
        <v>457</v>
      </c>
      <c r="E55" s="11" t="s">
        <v>394</v>
      </c>
      <c r="F55" s="17" t="s">
        <v>455</v>
      </c>
      <c r="G55" s="17" t="s">
        <v>26</v>
      </c>
      <c r="H55" s="17" t="s">
        <v>329</v>
      </c>
    </row>
    <row r="56" customFormat="false" ht="15" hidden="false" customHeight="true" outlineLevel="0" collapsed="false">
      <c r="A56" s="11" t="s">
        <v>301</v>
      </c>
      <c r="B56" s="11" t="s">
        <v>362</v>
      </c>
      <c r="C56" s="11" t="s">
        <v>458</v>
      </c>
      <c r="D56" s="11" t="s">
        <v>459</v>
      </c>
      <c r="E56" s="11" t="s">
        <v>386</v>
      </c>
      <c r="F56" s="16" t="s">
        <v>460</v>
      </c>
      <c r="G56" s="16" t="s">
        <v>34</v>
      </c>
      <c r="H56" s="16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2026-09-11T09:59:14Z</dcterms:created>
  <dc:creator>openpyxl</dc:creator>
  <dc:description/>
  <dc:language>en-US</dc:language>
  <cp:lastModifiedBy/>
  <dcterms:modified xsi:type="dcterms:W3CDTF">2026-09-11T10:32:16Z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